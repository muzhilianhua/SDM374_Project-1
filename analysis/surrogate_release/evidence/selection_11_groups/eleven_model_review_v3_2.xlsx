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dc16bed5a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评分" sheetId="1" r:id="R91d10d80348f4e8a"/>
    <x:sheet xmlns:r="http://schemas.openxmlformats.org/officeDocument/2006/relationships" name="原始指标" sheetId="2" r:id="Rec212805c37a4df7"/>
    <x:sheet xmlns:r="http://schemas.openxmlformats.org/officeDocument/2006/relationships" name="逐折明细" sheetId="3" r:id="Raf9e189d0536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%"/>
    <x:numFmt numFmtId="202" formatCode="@"/>
    <x:numFmt numFmtId="203" formatCode="0"/>
    <x:numFmt numFmtId="204" formatCode="0.00"/>
    <x:numFmt numFmtId="205" formatCode="+0.00;-0.00;0.0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263E5A"/>
      <x:name val="Arial"/>
    </x:font>
    <x:font>
      <x:sz val="10"/>
      <x:color rgb="FF596676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E5A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204" fontId="1" fillId="0" borderId="0" xfId="0" applyNumberFormat="1" applyFont="1" applyFill="1" applyBorder="1"/>
    <x:xf numFmtId="204" fontId="1" fillId="3" borderId="0" xfId="0" applyNumberFormat="1" applyFont="1" applyFill="1" applyBorder="1"/>
    <x:xf numFmtId="204" fontId="5" fillId="0" borderId="0" xfId="0" applyNumberFormat="1" applyFont="1" applyFill="1" applyBorder="1"/>
    <x:xf numFmtId="204" fontId="5" fillId="3" borderId="0" xfId="0" applyNumberFormat="1" applyFont="1" applyFill="1" applyBorder="1"/>
    <x:xf numFmtId="205" fontId="1" fillId="0" borderId="0" xfId="0" applyNumberFormat="1" applyFont="1" applyFill="1" applyBorder="1"/>
    <x:xf numFmtId="205" fontId="1" fillId="3" borderId="0" xfId="0" applyNumberFormat="1" applyFont="1" applyFill="1" applyBorder="1"/>
    <x:xf numFmtId="201" fontId="1" fillId="3" borderId="0" xfId="0" applyNumberFormat="1" applyFont="1" applyFill="1" applyBorder="1"/>
    <x:xf numFmtId="203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fa823dd314a79" /><Relationship Type="http://schemas.openxmlformats.org/officeDocument/2006/relationships/theme" Target="/xl/theme/theme1.xml" Id="R612588c5bb084f1d" /><Relationship Type="http://schemas.openxmlformats.org/officeDocument/2006/relationships/sharedStrings" Target="/xl/sharedStrings.xml" Id="Rf320d6c2cd154877" /><Relationship Type="http://schemas.openxmlformats.org/officeDocument/2006/relationships/worksheet" Target="/xl/worksheets/sheet1.xml" Id="R91d10d80348f4e8a" /><Relationship Type="http://schemas.openxmlformats.org/officeDocument/2006/relationships/worksheet" Target="/xl/worksheets/sheet2.xml" Id="Rec212805c37a4df7" /><Relationship Type="http://schemas.openxmlformats.org/officeDocument/2006/relationships/worksheet" Target="/xl/worksheets/sheet3.xml" Id="Raf9e189d053644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E5A"/>
  </x:sheetPr>
  <x:sheetViews>
    <x:sheetView showGridLines="0" workbookViewId="0"/>
  </x:sheetViews>
  <x:sheetFormatPr defaultRowHeight="15"/>
  <x:cols>
    <x:col min="1" max="1" width="7" hidden="0" customWidth="1"/>
    <x:col min="2" max="2" width="3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11" t="str">
        <x:v>11组现成模型：冻结分折下的v3.2复评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12" t="str">
        <x:v>截图前5组与原决赛圈6组；每组10个外层，不重新选参或训练，测试集不裁剪。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6" t="str">
        <x:v>排名</x:v>
      </x:c>
      <x:c r="B5" s="6" t="str">
        <x:v>策略与模型</x:v>
      </x:c>
      <x:c r="C5" s="6" t="str">
        <x:v>总分 /100</x:v>
      </x:c>
      <x:c r="D5" s="6" t="str">
        <x:v>低值排序 /35</x:v>
      </x:c>
      <x:c r="E5" s="6" t="str">
        <x:v>低值MAE /15</x:v>
      </x:c>
      <x:c r="F5" s="6" t="str">
        <x:v>全局排序 /15</x:v>
      </x:c>
      <x:c r="G5" s="6" t="str">
        <x:v>全局MAE /15</x:v>
      </x:c>
      <x:c r="H5" s="6" t="str">
        <x:v>第一推荐 /20</x:v>
      </x:c>
      <x:c r="I5" s="6" t="str">
        <x:v>样本SD /n−1</x:v>
      </x:c>
      <x:c r="J5" s="6" t="str">
        <x:v>总体SD /n</x:v>
      </x:c>
      <x:c r="K5" s="6" t="str">
        <x:v>最低分</x:v>
      </x:c>
      <x:c r="L5" s="6" t="str">
        <x:v>最高分</x:v>
      </x:c>
    </x:row>
    <x:row r="6" ht="28" customHeight="1">
      <x:c r="A6" s="1" t="n">
        <x:v>1</x:v>
      </x:c>
      <x:c r="B6" s="1" t="str">
        <x:v>组员 low90_w20x3 + XGBoost</x:v>
      </x:c>
      <x:c r="C6" s="16" t="n">
        <x:f>SUM(D6:H6)</x:f>
        <x:v>74.71671187267329</x:v>
      </x:c>
      <x:c r="D6" s="14" t="n">
        <x:f>AVERAGE('逐折明细'!C2:C11)</x:f>
        <x:v>21.459962453680664</x:v>
      </x:c>
      <x:c r="E6" s="14" t="n">
        <x:f>AVERAGE('逐折明细'!D2:D11)</x:f>
        <x:v>10.685242829245677</x:v>
      </x:c>
      <x:c r="F6" s="14" t="n">
        <x:f>AVERAGE('逐折明细'!E2:E11)</x:f>
        <x:v>12.781978671170252</x:v>
      </x:c>
      <x:c r="G6" s="14" t="n">
        <x:f>AVERAGE('逐折明细'!F2:F11)</x:f>
        <x:v>11.272257621025398</x:v>
      </x:c>
      <x:c r="H6" s="14" t="n">
        <x:f>AVERAGE('逐折明细'!G2:G11)</x:f>
        <x:v>18.5172702975513</x:v>
      </x:c>
      <x:c r="I6" s="14" t="n">
        <x:f>_xlfn.STDEV.S('逐折明细'!H2:H11)</x:f>
        <x:v>7.94140678221243</x:v>
      </x:c>
      <x:c r="J6" s="14" t="n">
        <x:f>_xlfn.STDEV.P('逐折明细'!H2:H11)</x:f>
        <x:v>7.533879977310006</x:v>
      </x:c>
      <x:c r="K6" s="14" t="n">
        <x:f>MIN('逐折明细'!H2:H11)</x:f>
        <x:v>58.72371003885866</x:v>
      </x:c>
      <x:c r="L6" s="14" t="n">
        <x:f>MAX('逐折明细'!H2:H11)</x:f>
        <x:v>86.2243702524919</x:v>
      </x:c>
    </x:row>
    <x:row r="7" ht="28" customHeight="1">
      <x:c r="A7" s="13" t="n">
        <x:v>2</x:v>
      </x:c>
      <x:c r="B7" s="13" t="str">
        <x:v>组员 low80 + HistGB</x:v>
      </x:c>
      <x:c r="C7" s="17" t="n">
        <x:f>SUM(D7:H7)</x:f>
        <x:v>74.4974831653557</x:v>
      </x:c>
      <x:c r="D7" s="15" t="n">
        <x:f>AVERAGE('逐折明细'!C12:C21)</x:f>
        <x:v>21.24701578694615</x:v>
      </x:c>
      <x:c r="E7" s="15" t="n">
        <x:f>AVERAGE('逐折明细'!D12:D21)</x:f>
        <x:v>10.82761945209775</x:v>
      </x:c>
      <x:c r="F7" s="15" t="n">
        <x:f>AVERAGE('逐折明细'!E12:E21)</x:f>
        <x:v>12.695269949283752</x:v>
      </x:c>
      <x:c r="G7" s="15" t="n">
        <x:f>AVERAGE('逐折明细'!F12:F21)</x:f>
        <x:v>11.131657104502315</x:v>
      </x:c>
      <x:c r="H7" s="15" t="n">
        <x:f>AVERAGE('逐折明细'!G12:G21)</x:f>
        <x:v>18.59592087252574</x:v>
      </x:c>
      <x:c r="I7" s="15" t="n">
        <x:f>_xlfn.STDEV.S('逐折明细'!H12:H21)</x:f>
        <x:v>8.908066034003967</x:v>
      </x:c>
      <x:c r="J7" s="15" t="n">
        <x:f>_xlfn.STDEV.P('逐折明细'!H12:H21)</x:f>
        <x:v>8.450933464390644</x:v>
      </x:c>
      <x:c r="K7" s="15" t="n">
        <x:f>MIN('逐折明细'!H12:H21)</x:f>
        <x:v>60.66922537145392</x:v>
      </x:c>
      <x:c r="L7" s="15" t="n">
        <x:f>MAX('逐折明细'!H12:H21)</x:f>
        <x:v>86.26819591891389</x:v>
      </x:c>
    </x:row>
    <x:row r="8" ht="28" customHeight="1">
      <x:c r="A8" s="1" t="n">
        <x:v>3</x:v>
      </x:c>
      <x:c r="B8" s="1" t="str">
        <x:v>组员 low60 + HistGB</x:v>
      </x:c>
      <x:c r="C8" s="16" t="n">
        <x:f>SUM(D8:H8)</x:f>
        <x:v>74.21427429317455</x:v>
      </x:c>
      <x:c r="D8" s="14" t="n">
        <x:f>AVERAGE('逐折明细'!C22:C31)</x:f>
        <x:v>22.198581652499477</x:v>
      </x:c>
      <x:c r="E8" s="14" t="n">
        <x:f>AVERAGE('逐折明细'!D22:D31)</x:f>
        <x:v>10.765082285629662</x:v>
      </x:c>
      <x:c r="F8" s="14" t="n">
        <x:f>AVERAGE('逐折明细'!E22:E31)</x:f>
        <x:v>11.500193261794372</x:v>
      </x:c>
      <x:c r="G8" s="14" t="n">
        <x:f>AVERAGE('逐折明细'!F22:F31)</x:f>
        <x:v>10.233833824046323</x:v>
      </x:c>
      <x:c r="H8" s="14" t="n">
        <x:f>AVERAGE('逐折明细'!G22:G31)</x:f>
        <x:v>19.516583269204727</x:v>
      </x:c>
      <x:c r="I8" s="14" t="n">
        <x:f>_xlfn.STDEV.S('逐折明细'!H22:H31)</x:f>
        <x:v>8.198340634270474</x:v>
      </x:c>
      <x:c r="J8" s="14" t="n">
        <x:f>_xlfn.STDEV.P('逐折明细'!H22:H31)</x:f>
        <x:v>7.7776288314612545</x:v>
      </x:c>
      <x:c r="K8" s="14" t="n">
        <x:f>MIN('逐折明细'!H22:H31)</x:f>
        <x:v>60.03488489990727</x:v>
      </x:c>
      <x:c r="L8" s="14" t="n">
        <x:f>MAX('逐折明细'!H22:H31)</x:f>
        <x:v>83.69794845956552</x:v>
      </x:c>
    </x:row>
    <x:row r="9" ht="28" customHeight="1">
      <x:c r="A9" s="13" t="n">
        <x:v>4</x:v>
      </x:c>
      <x:c r="B9" s="13" t="str">
        <x:v>组员 low90_w20x3 + HistGB</x:v>
      </x:c>
      <x:c r="C9" s="17" t="n">
        <x:f>SUM(D9:H9)</x:f>
        <x:v>73.72628543046744</x:v>
      </x:c>
      <x:c r="D9" s="15" t="n">
        <x:f>AVERAGE('逐折明细'!C32:C41)</x:f>
        <x:v>20.04281337067902</x:v>
      </x:c>
      <x:c r="E9" s="15" t="n">
        <x:f>AVERAGE('逐折明细'!D32:D41)</x:f>
        <x:v>10.68020265637158</x:v>
      </x:c>
      <x:c r="F9" s="15" t="n">
        <x:f>AVERAGE('逐折明细'!E32:E41)</x:f>
        <x:v>12.849448502006927</x:v>
      </x:c>
      <x:c r="G9" s="15" t="n">
        <x:f>AVERAGE('逐折明细'!F32:F41)</x:f>
        <x:v>11.340400534535394</x:v>
      </x:c>
      <x:c r="H9" s="15" t="n">
        <x:f>AVERAGE('逐折明细'!G32:G41)</x:f>
        <x:v>18.813420366874517</x:v>
      </x:c>
      <x:c r="I9" s="15" t="n">
        <x:f>_xlfn.STDEV.S('逐折明细'!H32:H41)</x:f>
        <x:v>6.7728949444742925</x:v>
      </x:c>
      <x:c r="J9" s="15" t="n">
        <x:f>_xlfn.STDEV.P('逐折明细'!H32:H41)</x:f>
        <x:v>6.425332313273524</x:v>
      </x:c>
      <x:c r="K9" s="15" t="n">
        <x:f>MIN('逐折明细'!H32:H41)</x:f>
        <x:v>64.91532818494328</x:v>
      </x:c>
      <x:c r="L9" s="15" t="n">
        <x:f>MAX('逐折明细'!H32:H41)</x:f>
        <x:v>84.68989844516327</x:v>
      </x:c>
    </x:row>
    <x:row r="10" ht="28" customHeight="1">
      <x:c r="A10" s="1" t="n">
        <x:v>5</x:v>
      </x:c>
      <x:c r="B10" s="1" t="str">
        <x:v>组员 tiered + HistGB</x:v>
      </x:c>
      <x:c r="C10" s="16" t="n">
        <x:f>SUM(D10:H10)</x:f>
        <x:v>73.26484022071187</x:v>
      </x:c>
      <x:c r="D10" s="14" t="n">
        <x:f>AVERAGE('逐折明细'!C42:C51)</x:f>
        <x:v>19.66530401006495</x:v>
      </x:c>
      <x:c r="E10" s="14" t="n">
        <x:f>AVERAGE('逐折明细'!D42:D51)</x:f>
        <x:v>10.475743254933347</x:v>
      </x:c>
      <x:c r="F10" s="14" t="n">
        <x:f>AVERAGE('逐折明细'!E42:E51)</x:f>
        <x:v>13.164092822440832</x:v>
      </x:c>
      <x:c r="G10" s="14" t="n">
        <x:f>AVERAGE('逐折明细'!F42:F51)</x:f>
        <x:v>11.442429835721459</x:v>
      </x:c>
      <x:c r="H10" s="14" t="n">
        <x:f>AVERAGE('逐折明细'!G42:G51)</x:f>
        <x:v>18.5172702975513</x:v>
      </x:c>
      <x:c r="I10" s="14" t="n">
        <x:f>_xlfn.STDEV.S('逐折明细'!H42:H51)</x:f>
        <x:v>8.93421051897897</x:v>
      </x:c>
      <x:c r="J10" s="14" t="n">
        <x:f>_xlfn.STDEV.P('逐折明细'!H42:H51)</x:f>
        <x:v>8.475736300622561</x:v>
      </x:c>
      <x:c r="K10" s="14" t="n">
        <x:f>MIN('逐折明细'!H42:H51)</x:f>
        <x:v>54.44146440646923</x:v>
      </x:c>
      <x:c r="L10" s="14" t="n">
        <x:f>MAX('逐折明细'!H42:H51)</x:f>
        <x:v>83.62600664569463</x:v>
      </x:c>
    </x:row>
    <x:row r="11" ht="28" customHeight="1">
      <x:c r="A11" s="13" t="n">
        <x:v>6</x:v>
      </x:c>
      <x:c r="B11" s="13" t="str">
        <x:v>原决赛圈 原始XGBoost</x:v>
      </x:c>
      <x:c r="C11" s="17" t="n">
        <x:f>SUM(D11:H11)</x:f>
        <x:v>73.03836435765432</x:v>
      </x:c>
      <x:c r="D11" s="15" t="n">
        <x:f>AVERAGE('逐折明细'!C52:C61)</x:f>
        <x:v>20.01287715007976</x:v>
      </x:c>
      <x:c r="E11" s="15" t="n">
        <x:f>AVERAGE('逐折明细'!D52:D61)</x:f>
        <x:v>10.428037893994162</x:v>
      </x:c>
      <x:c r="F11" s="15" t="n">
        <x:f>AVERAGE('逐折明细'!E52:E61)</x:f>
        <x:v>13.172213020347755</x:v>
      </x:c>
      <x:c r="G11" s="15" t="n">
        <x:f>AVERAGE('逐折明细'!F52:F61)</x:f>
        <x:v>11.492822438538198</x:v>
      </x:c>
      <x:c r="H11" s="15" t="n">
        <x:f>AVERAGE('逐折明细'!G52:G61)</x:f>
        <x:v>17.932413854694445</x:v>
      </x:c>
      <x:c r="I11" s="15" t="n">
        <x:f>_xlfn.STDEV.S('逐折明细'!H52:H61)</x:f>
        <x:v>7.946997433922546</x:v>
      </x:c>
      <x:c r="J11" s="15" t="n">
        <x:f>_xlfn.STDEV.P('逐折明细'!H52:H61)</x:f>
        <x:v>7.539183735212612</x:v>
      </x:c>
      <x:c r="K11" s="15" t="n">
        <x:f>MIN('逐折明细'!H52:H61)</x:f>
        <x:v>57.70821021452579</x:v>
      </x:c>
      <x:c r="L11" s="15" t="n">
        <x:f>MAX('逐折明细'!H52:H61)</x:f>
        <x:v>82.95426035182837</x:v>
      </x:c>
    </x:row>
    <x:row r="12" ht="28" customHeight="1">
      <x:c r="A12" s="1" t="n">
        <x:v>7</x:v>
      </x:c>
      <x:c r="B12" s="1" t="str">
        <x:v>原决赛圈 直方图梯度提升</x:v>
      </x:c>
      <x:c r="C12" s="16" t="n">
        <x:f>SUM(D12:H12)</x:f>
        <x:v>72.6545842829437</x:v>
      </x:c>
      <x:c r="D12" s="14" t="n">
        <x:f>AVERAGE('逐折明细'!C62:C71)</x:f>
        <x:v>20.09437724028605</x:v>
      </x:c>
      <x:c r="E12" s="14" t="n">
        <x:f>AVERAGE('逐折明细'!D62:D71)</x:f>
        <x:v>10.262337220170854</x:v>
      </x:c>
      <x:c r="F12" s="14" t="n">
        <x:f>AVERAGE('逐折明细'!E62:E71)</x:f>
        <x:v>13.147680181199965</x:v>
      </x:c>
      <x:c r="G12" s="14" t="n">
        <x:f>AVERAGE('逐折明细'!F62:F71)</x:f>
        <x:v>11.474487314435674</x:v>
      </x:c>
      <x:c r="H12" s="14" t="n">
        <x:f>AVERAGE('逐折明细'!G62:G71)</x:f>
        <x:v>17.67570232685115</x:v>
      </x:c>
      <x:c r="I12" s="14" t="n">
        <x:f>_xlfn.STDEV.S('逐折明细'!H62:H71)</x:f>
        <x:v>7.240940980674046</x:v>
      </x:c>
      <x:c r="J12" s="14" t="n">
        <x:f>_xlfn.STDEV.P('逐折明细'!H62:H71)</x:f>
        <x:v>6.869359770534976</x:v>
      </x:c>
      <x:c r="K12" s="14" t="n">
        <x:f>MIN('逐折明细'!H62:H71)</x:f>
        <x:v>60.518527301045815</x:v>
      </x:c>
      <x:c r="L12" s="14" t="n">
        <x:f>MAX('逐折明细'!H62:H71)</x:f>
        <x:v>80.88459551886105</x:v>
      </x:c>
    </x:row>
    <x:row r="13" ht="28" customHeight="1">
      <x:c r="A13" s="13" t="n">
        <x:v>8</x:v>
      </x:c>
      <x:c r="B13" s="13" t="str">
        <x:v>原决赛圈 低值加权XGBoost</x:v>
      </x:c>
      <x:c r="C13" s="17" t="n">
        <x:f>SUM(D13:H13)</x:f>
        <x:v>72.17501576085706</x:v>
      </x:c>
      <x:c r="D13" s="15" t="n">
        <x:f>AVERAGE('逐折明细'!C72:C81)</x:f>
        <x:v>18.57543785049943</x:v>
      </x:c>
      <x:c r="E13" s="15" t="n">
        <x:f>AVERAGE('逐折明细'!D72:D81)</x:f>
        <x:v>10.664052262130465</x:v>
      </x:c>
      <x:c r="F13" s="15" t="n">
        <x:f>AVERAGE('逐折明细'!E72:E81)</x:f>
        <x:v>13.056623967528552</x:v>
      </x:c>
      <x:c r="G13" s="15" t="n">
        <x:f>AVERAGE('逐折明细'!F72:F81)</x:f>
        <x:v>11.405883212378864</x:v>
      </x:c>
      <x:c r="H13" s="15" t="n">
        <x:f>AVERAGE('逐折明细'!G72:G81)</x:f>
        <x:v>18.47301846831975</x:v>
      </x:c>
      <x:c r="I13" s="15" t="n">
        <x:f>_xlfn.STDEV.S('逐折明细'!H72:H81)</x:f>
        <x:v>7.246900660244381</x:v>
      </x:c>
      <x:c r="J13" s="15" t="n">
        <x:f>_xlfn.STDEV.P('逐折明细'!H72:H81)</x:f>
        <x:v>6.875013619005085</x:v>
      </x:c>
      <x:c r="K13" s="15" t="n">
        <x:f>MIN('逐折明细'!H72:H81)</x:f>
        <x:v>59.100512451114696</x:v>
      </x:c>
      <x:c r="L13" s="15" t="n">
        <x:f>MAX('逐折明细'!H72:H81)</x:f>
        <x:v>79.493804308582</x:v>
      </x:c>
    </x:row>
    <x:row r="14" ht="28" customHeight="1">
      <x:c r="A14" s="1" t="n">
        <x:v>9</x:v>
      </x:c>
      <x:c r="B14" s="1" t="str">
        <x:v>原决赛圈 极端随机树</x:v>
      </x:c>
      <x:c r="C14" s="16" t="n">
        <x:f>SUM(D14:H14)</x:f>
        <x:v>68.43628591094652</x:v>
      </x:c>
      <x:c r="D14" s="14" t="n">
        <x:f>AVERAGE('逐折明细'!C82:C91)</x:f>
        <x:v>19.315531404421243</x:v>
      </x:c>
      <x:c r="E14" s="14" t="n">
        <x:f>AVERAGE('逐折明细'!D82:D91)</x:f>
        <x:v>9.14637060165482</x:v>
      </x:c>
      <x:c r="F14" s="14" t="n">
        <x:f>AVERAGE('逐折明细'!E82:E91)</x:f>
        <x:v>12.8057669913599</x:v>
      </x:c>
      <x:c r="G14" s="14" t="n">
        <x:f>AVERAGE('逐折明细'!F82:F91)</x:f>
        <x:v>11.153817619998804</x:v>
      </x:c>
      <x:c r="H14" s="14" t="n">
        <x:f>AVERAGE('逐折明细'!G82:G91)</x:f>
        <x:v>16.014799293511757</x:v>
      </x:c>
      <x:c r="I14" s="14" t="n">
        <x:f>_xlfn.STDEV.S('逐折明细'!H82:H91)</x:f>
        <x:v>8.639796222075532</x:v>
      </x:c>
      <x:c r="J14" s="14" t="n">
        <x:f>_xlfn.STDEV.P('逐折明细'!H82:H91)</x:f>
        <x:v>8.196430374442985</x:v>
      </x:c>
      <x:c r="K14" s="14" t="n">
        <x:f>MIN('逐折明细'!H82:H91)</x:f>
        <x:v>51.71732931667517</x:v>
      </x:c>
      <x:c r="L14" s="14" t="n">
        <x:f>MAX('逐折明细'!H82:H91)</x:f>
        <x:v>82.31914685558083</x:v>
      </x:c>
    </x:row>
    <x:row r="15" ht="28" customHeight="1">
      <x:c r="A15" s="13" t="n">
        <x:v>10</x:v>
      </x:c>
      <x:c r="B15" s="13" t="str">
        <x:v>原决赛圈 核岭回归</x:v>
      </x:c>
      <x:c r="C15" s="17" t="n">
        <x:f>SUM(D15:H15)</x:f>
        <x:v>67.01088745263195</x:v>
      </x:c>
      <x:c r="D15" s="15" t="n">
        <x:f>AVERAGE('逐折明细'!C92:C101)</x:f>
        <x:v>19.58453857081434</x:v>
      </x:c>
      <x:c r="E15" s="15" t="n">
        <x:f>AVERAGE('逐折明细'!D92:D101)</x:f>
        <x:v>9.011208198780535</x:v>
      </x:c>
      <x:c r="F15" s="15" t="n">
        <x:f>AVERAGE('逐折明细'!E92:E101)</x:f>
        <x:v>12.0199423260172</x:v>
      </x:c>
      <x:c r="G15" s="15" t="n">
        <x:f>AVERAGE('逐折明细'!F92:F101)</x:f>
        <x:v>10.558894354009363</x:v>
      </x:c>
      <x:c r="H15" s="15" t="n">
        <x:f>AVERAGE('逐折明细'!G92:G101)</x:f>
        <x:v>15.836304003010511</x:v>
      </x:c>
      <x:c r="I15" s="15" t="n">
        <x:f>_xlfn.STDEV.S('逐折明细'!H92:H101)</x:f>
        <x:v>9.408207744285242</x:v>
      </x:c>
      <x:c r="J15" s="15" t="n">
        <x:f>_xlfn.STDEV.P('逐折明细'!H92:H101)</x:f>
        <x:v>8.925409551592908</x:v>
      </x:c>
      <x:c r="K15" s="15" t="n">
        <x:f>MIN('逐折明细'!H92:H101)</x:f>
        <x:v>46.854764583860636</x:v>
      </x:c>
      <x:c r="L15" s="15" t="n">
        <x:f>MAX('逐折明细'!H92:H101)</x:f>
        <x:v>81.32283443199297</x:v>
      </x:c>
    </x:row>
    <x:row r="16" ht="28" customHeight="1">
      <x:c r="A16" s="1" t="n">
        <x:v>11</x:v>
      </x:c>
      <x:c r="B16" s="1" t="str">
        <x:v>原决赛圈 二次岭回归</x:v>
      </x:c>
      <x:c r="C16" s="16" t="n">
        <x:f>SUM(D16:H16)</x:f>
        <x:v>66.19342344422833</x:v>
      </x:c>
      <x:c r="D16" s="14" t="n">
        <x:f>AVERAGE('逐折明细'!C102:C111)</x:f>
        <x:v>18.979100541365785</x:v>
      </x:c>
      <x:c r="E16" s="14" t="n">
        <x:f>AVERAGE('逐折明细'!D102:D111)</x:f>
        <x:v>8.470431864640805</x:v>
      </x:c>
      <x:c r="F16" s="14" t="n">
        <x:f>AVERAGE('逐折明细'!E102:E111)</x:f>
        <x:v>11.958937947248462</x:v>
      </x:c>
      <x:c r="G16" s="14" t="n">
        <x:f>AVERAGE('逐折明细'!F102:F111)</x:f>
        <x:v>10.452086192046295</x:v>
      </x:c>
      <x:c r="H16" s="14" t="n">
        <x:f>AVERAGE('逐折明细'!G102:G111)</x:f>
        <x:v>16.332866898926977</x:v>
      </x:c>
      <x:c r="I16" s="14" t="n">
        <x:f>_xlfn.STDEV.S('逐折明细'!H102:H111)</x:f>
        <x:v>9.82899722033099</x:v>
      </x:c>
      <x:c r="J16" s="14" t="n">
        <x:f>_xlfn.STDEV.P('逐折明细'!H102:H111)</x:f>
        <x:v>9.324605499512936</x:v>
      </x:c>
      <x:c r="K16" s="14" t="n">
        <x:f>MIN('逐折明细'!H102:H111)</x:f>
        <x:v>46.087915725528816</x:v>
      </x:c>
      <x:c r="L16" s="14" t="n">
        <x:f>MAX('逐折明细'!H102:H111)</x:f>
        <x:v>76.49234644599534</x:v>
      </x:c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5" customHeight="1">
      <x:c r="A19" s="12" t="str">
        <x:v>样本SD使用ddof=1，与截图一致；总体SD使用ddof=0，与原决赛圈报告一致。二者都不直接扣分。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5" customHeight="1">
      <x:c r="A20" s="12" t="str">
        <x:v>低值区统一为真实ramping≤132.80，0.5容差只用于排序；s来自完整、未筛选的外层训练标签。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5" customHeight="1">
      <x:c r="A21" s="12" t="str">
        <x:v>low60/80/90是训练策略，不是只评估部分测试数据。所有方案使用相同的完整冻结外层测试集。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5" customHeight="1">
      <x:c r="A22" s="12" t="str">
        <x:v>组员权重原先按RMSE选参，原决赛圈按v3.2选参。本表比较现成权重，不声称统一重新选参。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5" customHeight="1">
      <x:c r="A23" s="12" t="str">
        <x:v>组员50个分折文件均通过包内记录误差核对；原决赛圈60组留出预测重算与原记录完全一致。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5" customHeight="1">
      <x:c r="A24" s="12" t="str">
        <x:v>来源：分析记录20261025-204551-artifact-review-v32。源码未提交（本机未配置Git身份），源码与输入哈希已记录。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" customHeight="1">
      <x:c r="A2" s="11" t="str">
        <x:v>原始测试指标：逐折计算后取10折平均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5" customHeight="1">
      <x:c r="A3" s="12" t="str">
        <x:v>偏差=预测−真实；排序正确率为v3.2加权容差正确率；以下没有折算成分数。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0" customHeight="1">
      <x:c r="A5" s="6" t="str">
        <x:v>策略与模型</x:v>
      </x:c>
      <x:c r="B5" s="6" t="str">
        <x:v>全局MAE ↓</x:v>
      </x:c>
      <x:c r="C5" s="6" t="str">
        <x:v>低值MAE ↓</x:v>
      </x:c>
      <x:c r="D5" s="6" t="str">
        <x:v>全局偏差</x:v>
      </x:c>
      <x:c r="E5" s="6" t="str">
        <x:v>低值偏差</x:v>
      </x:c>
      <x:c r="F5" s="6" t="str">
        <x:v>低值排序正确率 ↑</x:v>
      </x:c>
      <x:c r="G5" s="6" t="str">
        <x:v>全局排序正确率 ↑</x:v>
      </x:c>
      <x:c r="H5" s="6" t="str">
        <x:v>原始召回率 ↑</x:v>
      </x:c>
      <x:c r="I5" s="6" t="str">
        <x:v>来源</x:v>
      </x:c>
      <x:c r="J5" s="1"/>
      <x:c r="K5" s="1"/>
    </x:row>
    <x:row r="6" ht="28" customHeight="1">
      <x:c r="A6" s="1" t="str">
        <x:v>组员 low90_w20x3 + XGBoost</x:v>
      </x:c>
      <x:c r="B6" s="14" t="n">
        <x:f>AVERAGE('逐折明细'!J2:J11)</x:f>
        <x:v>5.2149721898971935</x:v>
      </x:c>
      <x:c r="C6" s="14" t="n">
        <x:f>AVERAGE('逐折明细'!I2:I11)</x:f>
        <x:v>6.399525182826408</x:v>
      </x:c>
      <x:c r="D6" s="18" t="n">
        <x:f>AVERAGE('逐折明细'!L2:L11)</x:f>
        <x:v>-1.7610659156182809</x:v>
      </x:c>
      <x:c r="E6" s="18" t="n">
        <x:f>AVERAGE('逐折明细'!K2:K11)</x:f>
        <x:v>6.12862320747346</x:v>
      </x:c>
      <x:c r="F6" s="8" t="n">
        <x:f>AVERAGE('逐折明细'!M2:M11)</x:f>
        <x:v>0.806570892195438</x:v>
      </x:c>
      <x:c r="G6" s="8" t="n">
        <x:f>AVERAGE('逐折明细'!N2:N11)</x:f>
        <x:v>0.9260659557056752</x:v>
      </x:c>
      <x:c r="H6" s="8" t="n">
        <x:f>AVERAGE('逐折明细'!S2:S11)</x:f>
        <x:v>0.6874576787161926</x:v>
      </x:c>
      <x:c r="I6" s="1" t="str">
        <x:v>组员模型</x:v>
      </x:c>
      <x:c r="J6" s="1"/>
      <x:c r="K6" s="1"/>
    </x:row>
    <x:row r="7" ht="28" customHeight="1">
      <x:c r="A7" s="13" t="str">
        <x:v>组员 low80 + HistGB</x:v>
      </x:c>
      <x:c r="B7" s="15" t="n">
        <x:f>AVERAGE('逐折明细'!J12:J21)</x:f>
        <x:v>5.482738482008822</x:v>
      </x:c>
      <x:c r="C7" s="15" t="n">
        <x:f>AVERAGE('逐折明细'!I12:I21)</x:f>
        <x:v>6.133040727472137</x:v>
      </x:c>
      <x:c r="D7" s="19" t="n">
        <x:f>AVERAGE('逐折明细'!L12:L21)</x:f>
        <x:v>-2.426826775046871</x:v>
      </x:c>
      <x:c r="E7" s="19" t="n">
        <x:f>AVERAGE('逐折明细'!K12:K21)</x:f>
        <x:v>5.121091217052334</x:v>
      </x:c>
      <x:c r="F7" s="20" t="n">
        <x:f>AVERAGE('逐折明细'!M12:M21)</x:f>
        <x:v>0.8035287969563736</x:v>
      </x:c>
      <x:c r="G7" s="20" t="n">
        <x:f>AVERAGE('逐折明细'!N12:N21)</x:f>
        <x:v>0.9231756649761251</x:v>
      </x:c>
      <x:c r="H7" s="20" t="n">
        <x:f>AVERAGE('逐折明细'!S12:S21)</x:f>
        <x:v>0.6892525168330121</x:v>
      </x:c>
      <x:c r="I7" s="13" t="str">
        <x:v>组员模型</x:v>
      </x:c>
      <x:c r="J7" s="1"/>
      <x:c r="K7" s="1"/>
    </x:row>
    <x:row r="8" ht="28" customHeight="1">
      <x:c r="A8" s="1" t="str">
        <x:v>组员 low60 + HistGB</x:v>
      </x:c>
      <x:c r="B8" s="14" t="n">
        <x:f>AVERAGE('逐折明细'!J22:J31)</x:f>
        <x:v>7.349588029691508</x:v>
      </x:c>
      <x:c r="C8" s="14" t="n">
        <x:f>AVERAGE('逐折明细'!I22:I31)</x:f>
        <x:v>6.24751426007041</x:v>
      </x:c>
      <x:c r="D8" s="18" t="n">
        <x:f>AVERAGE('逐折明细'!L22:L31)</x:f>
        <x:v>-4.959194730749468</x:v>
      </x:c>
      <x:c r="E8" s="18" t="n">
        <x:f>AVERAGE('逐折明细'!K22:K31)</x:f>
        <x:v>5.603335995485689</x:v>
      </x:c>
      <x:c r="F8" s="8" t="n">
        <x:f>AVERAGE('逐折明细'!M22:M31)</x:f>
        <x:v>0.817122595035707</x:v>
      </x:c>
      <x:c r="G8" s="8" t="n">
        <x:f>AVERAGE('逐折明细'!N22:N31)</x:f>
        <x:v>0.8833397753931458</x:v>
      </x:c>
      <x:c r="H8" s="8" t="n">
        <x:f>AVERAGE('逐折明细'!S22:S31)</x:f>
        <x:v>0.6891989783522291</x:v>
      </x:c>
      <x:c r="I8" s="1" t="str">
        <x:v>组员模型</x:v>
      </x:c>
      <x:c r="J8" s="1"/>
      <x:c r="K8" s="1"/>
    </x:row>
    <x:row r="9" ht="28" customHeight="1">
      <x:c r="A9" s="13" t="str">
        <x:v>组员 low90_w20x3 + HistGB</x:v>
      </x:c>
      <x:c r="B9" s="15" t="n">
        <x:f>AVERAGE('逐折明细'!J32:J41)</x:f>
        <x:v>5.089501547832857</x:v>
      </x:c>
      <x:c r="C9" s="15" t="n">
        <x:f>AVERAGE('逐折明细'!I32:I41)</x:f>
        <x:v>6.409141188524998</x:v>
      </x:c>
      <x:c r="D9" s="19" t="n">
        <x:f>AVERAGE('逐折明细'!L32:L41)</x:f>
        <x:v>-1.735117814606204</x:v>
      </x:c>
      <x:c r="E9" s="19" t="n">
        <x:f>AVERAGE('逐折明细'!K32:K41)</x:f>
        <x:v>5.8744029995249365</x:v>
      </x:c>
      <x:c r="F9" s="20" t="n">
        <x:f>AVERAGE('逐折明细'!M32:M41)</x:f>
        <x:v>0.7863259052954145</x:v>
      </x:c>
      <x:c r="G9" s="20" t="n">
        <x:f>AVERAGE('逐折明细'!N32:N41)</x:f>
        <x:v>0.9283149500668977</x:v>
      </x:c>
      <x:c r="H9" s="20" t="n">
        <x:f>AVERAGE('逐折明细'!S32:S41)</x:f>
        <x:v>0.7087590527807246</x:v>
      </x:c>
      <x:c r="I9" s="13" t="str">
        <x:v>组员模型</x:v>
      </x:c>
      <x:c r="J9" s="1"/>
      <x:c r="K9" s="1"/>
    </x:row>
    <x:row r="10" ht="28" customHeight="1">
      <x:c r="A10" s="1" t="str">
        <x:v>组员 tiered + HistGB</x:v>
      </x:c>
      <x:c r="B10" s="14" t="n">
        <x:f>AVERAGE('逐折明细'!J42:J51)</x:f>
        <x:v>4.904668384983294</x:v>
      </x:c>
      <x:c r="C10" s="14" t="n">
        <x:f>AVERAGE('逐折明细'!I42:I51)</x:f>
        <x:v>6.851902731214717</x:v>
      </x:c>
      <x:c r="D10" s="18" t="n">
        <x:f>AVERAGE('逐折明细'!L42:L51)</x:f>
        <x:v>-0.22330261688101957</x:v>
      </x:c>
      <x:c r="E10" s="18" t="n">
        <x:f>AVERAGE('逐折明细'!K42:K51)</x:f>
        <x:v>6.435905755762431</x:v>
      </x:c>
      <x:c r="F10" s="8" t="n">
        <x:f>AVERAGE('逐折明细'!M42:M51)</x:f>
        <x:v>0.7809329144294993</x:v>
      </x:c>
      <x:c r="G10" s="8" t="n">
        <x:f>AVERAGE('逐折明细'!N42:N51)</x:f>
        <x:v>0.9388030940813611</x:v>
      </x:c>
      <x:c r="H10" s="8" t="n">
        <x:f>AVERAGE('逐折明细'!S42:S51)</x:f>
        <x:v>0.6676427480328408</x:v>
      </x:c>
      <x:c r="I10" s="1" t="str">
        <x:v>组员模型</x:v>
      </x:c>
      <x:c r="J10" s="1"/>
      <x:c r="K10" s="1"/>
    </x:row>
    <x:row r="11" ht="28" customHeight="1">
      <x:c r="A11" s="13" t="str">
        <x:v>原决赛圈 原始XGBoost</x:v>
      </x:c>
      <x:c r="B11" s="15" t="n">
        <x:f>AVERAGE('逐折明细'!J52:J61)</x:f>
        <x:v>4.813980303456826</x:v>
      </x:c>
      <x:c r="C11" s="15" t="n">
        <x:f>AVERAGE('逐折明细'!I52:I61)</x:f>
        <x:v>6.968980697088665</x:v>
      </x:c>
      <x:c r="D11" s="19" t="n">
        <x:f>AVERAGE('逐折明细'!L52:L61)</x:f>
        <x:v>-0.06522811345130816</x:v>
      </x:c>
      <x:c r="E11" s="19" t="n">
        <x:f>AVERAGE('逐折明细'!K52:K61)</x:f>
        <x:v>6.526736847514312</x:v>
      </x:c>
      <x:c r="F11" s="20" t="n">
        <x:f>AVERAGE('逐折明细'!M52:M61)</x:f>
        <x:v>0.7858982450011394</x:v>
      </x:c>
      <x:c r="G11" s="20" t="n">
        <x:f>AVERAGE('逐折明细'!N52:N61)</x:f>
        <x:v>0.9390737673449252</x:v>
      </x:c>
      <x:c r="H11" s="20" t="n">
        <x:f>AVERAGE('逐折明细'!S52:S61)</x:f>
        <x:v>0.6986686753219261</x:v>
      </x:c>
      <x:c r="I11" s="13" t="str">
        <x:v>原决赛圈</x:v>
      </x:c>
      <x:c r="J11" s="1"/>
      <x:c r="K11" s="1"/>
    </x:row>
    <x:row r="12" ht="28" customHeight="1">
      <x:c r="A12" s="1" t="str">
        <x:v>原决赛圈 直方图梯度提升</x:v>
      </x:c>
      <x:c r="B12" s="14" t="n">
        <x:f>AVERAGE('逐折明细'!J62:J71)</x:f>
        <x:v>4.846971147024642</x:v>
      </x:c>
      <x:c r="C12" s="14" t="n">
        <x:f>AVERAGE('逐折明细'!I62:I71)</x:f>
        <x:v>7.302474959165403</x:v>
      </x:c>
      <x:c r="D12" s="18" t="n">
        <x:f>AVERAGE('逐折明细'!L62:L71)</x:f>
        <x:v>-0.03350136354243941</x:v>
      </x:c>
      <x:c r="E12" s="18" t="n">
        <x:f>AVERAGE('逐折明细'!K62:K71)</x:f>
        <x:v>6.825339198971404</x:v>
      </x:c>
      <x:c r="F12" s="8" t="n">
        <x:f>AVERAGE('逐折明细'!M62:M71)</x:f>
        <x:v>0.7870625320040865</x:v>
      </x:c>
      <x:c r="G12" s="8" t="n">
        <x:f>AVERAGE('逐折明细'!N62:N71)</x:f>
        <x:v>0.9382560060399987</x:v>
      </x:c>
      <x:c r="H12" s="8" t="n">
        <x:f>AVERAGE('逐折明细'!S62:S71)</x:f>
        <x:v>0.6640894609346621</x:v>
      </x:c>
      <x:c r="I12" s="1" t="str">
        <x:v>原决赛圈</x:v>
      </x:c>
      <x:c r="J12" s="1"/>
      <x:c r="K12" s="1"/>
    </x:row>
    <x:row r="13" ht="28" customHeight="1">
      <x:c r="A13" s="13" t="str">
        <x:v>原决赛圈 低值加权XGBoost</x:v>
      </x:c>
      <x:c r="B13" s="15" t="n">
        <x:f>AVERAGE('逐折明细'!J72:J81)</x:f>
        <x:v>4.9720837230992645</x:v>
      </x:c>
      <x:c r="C13" s="15" t="n">
        <x:f>AVERAGE('逐折明细'!I72:I81)</x:f>
        <x:v>6.435052912273082</x:v>
      </x:c>
      <x:c r="D13" s="19" t="n">
        <x:f>AVERAGE('逐折明细'!L72:L81)</x:f>
        <x:v>-0.09479576839783686</x:v>
      </x:c>
      <x:c r="E13" s="19" t="n">
        <x:f>AVERAGE('逐折明细'!K72:K81)</x:f>
        <x:v>5.749199937730181</x:v>
      </x:c>
      <x:c r="F13" s="20" t="n">
        <x:f>AVERAGE('逐折明细'!M72:M81)</x:f>
        <x:v>0.7653633978642775</x:v>
      </x:c>
      <x:c r="G13" s="20" t="n">
        <x:f>AVERAGE('逐折明细'!N72:N81)</x:f>
        <x:v>0.9352207989176184</x:v>
      </x:c>
      <x:c r="H13" s="20" t="n">
        <x:f>AVERAGE('逐折明细'!S72:S81)</x:f>
        <x:v>0.6568647248863968</x:v>
      </x:c>
      <x:c r="I13" s="13" t="str">
        <x:v>原决赛圈</x:v>
      </x:c>
      <x:c r="J13" s="1"/>
      <x:c r="K13" s="1"/>
    </x:row>
    <x:row r="14" ht="28" customHeight="1">
      <x:c r="A14" s="1" t="str">
        <x:v>原决赛圈 极端随机树</x:v>
      </x:c>
      <x:c r="B14" s="14" t="n">
        <x:f>AVERAGE('逐折明细'!J82:J91)</x:f>
        <x:v>5.439467441916986</x:v>
      </x:c>
      <x:c r="C14" s="14" t="n">
        <x:f>AVERAGE('逐折明细'!I82:I91)</x:f>
        <x:v>10.139554040472392</x:v>
      </x:c>
      <x:c r="D14" s="18" t="n">
        <x:f>AVERAGE('逐折明细'!L82:L91)</x:f>
        <x:v>-0.0668984312995659</x:v>
      </x:c>
      <x:c r="E14" s="18" t="n">
        <x:f>AVERAGE('逐折明细'!K82:K91)</x:f>
        <x:v>10.094689398116603</x:v>
      </x:c>
      <x:c r="F14" s="8" t="n">
        <x:f>AVERAGE('逐折明细'!M82:M91)</x:f>
        <x:v>0.7759361629203034</x:v>
      </x:c>
      <x:c r="G14" s="8" t="n">
        <x:f>AVERAGE('逐折明细'!N82:N91)</x:f>
        <x:v>0.9268588997119966</x:v>
      </x:c>
      <x:c r="H14" s="8" t="n">
        <x:f>AVERAGE('逐折明细'!S82:S91)</x:f>
        <x:v>0.6523126369674357</x:v>
      </x:c>
      <x:c r="I14" s="1" t="str">
        <x:v>原决赛圈</x:v>
      </x:c>
      <x:c r="J14" s="1"/>
      <x:c r="K14" s="1"/>
    </x:row>
    <x:row r="15" ht="28" customHeight="1">
      <x:c r="A15" s="13" t="str">
        <x:v>原决赛圈 核岭回归</x:v>
      </x:c>
      <x:c r="B15" s="15" t="n">
        <x:f>AVERAGE('逐折明细'!J92:J101)</x:f>
        <x:v>6.634829861695444</x:v>
      </x:c>
      <x:c r="C15" s="15" t="n">
        <x:f>AVERAGE('逐折明细'!I92:I101)</x:f>
        <x:v>10.586928169094403</x:v>
      </x:c>
      <x:c r="D15" s="19" t="n">
        <x:f>AVERAGE('逐折明细'!L92:L101)</x:f>
        <x:v>-0.1327641475372325</x:v>
      </x:c>
      <x:c r="E15" s="19" t="n">
        <x:f>AVERAGE('逐折明细'!K92:K101)</x:f>
        <x:v>9.200491522669205</x:v>
      </x:c>
      <x:c r="F15" s="20" t="n">
        <x:f>AVERAGE('逐折明细'!M92:M101)</x:f>
        <x:v>0.7797791224402049</x:v>
      </x:c>
      <x:c r="G15" s="20" t="n">
        <x:f>AVERAGE('逐折明细'!N92:N101)</x:f>
        <x:v>0.9006647442005734</x:v>
      </x:c>
      <x:c r="H15" s="20" t="n">
        <x:f>AVERAGE('逐折明细'!S92:S101)</x:f>
        <x:v>0.5347564126619855</x:v>
      </x:c>
      <x:c r="I15" s="13" t="str">
        <x:v>原决赛圈</x:v>
      </x:c>
      <x:c r="J15" s="1"/>
      <x:c r="K15" s="1"/>
    </x:row>
    <x:row r="16" ht="28" customHeight="1">
      <x:c r="A16" s="1" t="str">
        <x:v>原决赛圈 二次岭回归</x:v>
      </x:c>
      <x:c r="B16" s="14" t="n">
        <x:f>AVERAGE('逐折明细'!J102:J111)</x:f>
        <x:v>6.861566652926787</x:v>
      </x:c>
      <x:c r="C16" s="14" t="n">
        <x:f>AVERAGE('逐折明细'!I102:I111)</x:f>
        <x:v>12.229044261239155</x:v>
      </x:c>
      <x:c r="D16" s="18" t="n">
        <x:f>AVERAGE('逐折明细'!L102:L111)</x:f>
        <x:v>-0.102016238455089</x:v>
      </x:c>
      <x:c r="E16" s="18" t="n">
        <x:f>AVERAGE('逐折明细'!K102:K111)</x:f>
        <x:v>10.550572384317599</x:v>
      </x:c>
      <x:c r="F16" s="8" t="n">
        <x:f>AVERAGE('逐折明细'!M102:M111)</x:f>
        <x:v>0.7711300077337968</x:v>
      </x:c>
      <x:c r="G16" s="8" t="n">
        <x:f>AVERAGE('逐折明细'!N102:N111)</x:f>
        <x:v>0.8986312649082819</x:v>
      </x:c>
      <x:c r="H16" s="8" t="n">
        <x:f>AVERAGE('逐折明细'!S102:S111)</x:f>
        <x:v>0.49123006920839735</x:v>
      </x:c>
      <x:c r="I16" s="1" t="str">
        <x:v>原决赛圈</x:v>
      </x:c>
      <x:c r="J16" s="1"/>
      <x:c r="K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40" customHeight="1">
      <x:c r="A21" s="6" t="str">
        <x:v>策略与模型</x:v>
      </x:c>
      <x:c r="B21" s="6" t="str">
        <x:v>第一推荐差距 ↓</x:v>
      </x:c>
      <x:c r="C21" s="6" t="str">
        <x:v>差距标准差</x:v>
      </x:c>
      <x:c r="D21" s="6" t="str">
        <x:v>最大差距</x:v>
      </x:c>
      <x:c r="E21" s="6" t="str">
        <x:v>差距≤0.5折数</x:v>
      </x:c>
      <x:c r="F21" s="6" t="str">
        <x:v>推荐真实值均值</x:v>
      </x:c>
      <x:c r="G21" s="6" t="str">
        <x:v>测试最优值均值</x:v>
      </x:c>
      <x:c r="H21" s="6" t="str">
        <x:v>截图总分</x:v>
      </x:c>
      <x:c r="I21" s="1"/>
      <x:c r="J21" s="1"/>
      <x:c r="K21" s="1"/>
    </x:row>
    <x:row r="22" ht="28" customHeight="1">
      <x:c r="A22" s="1" t="str">
        <x:v>组员 low90_w20x3 + XGBoost</x:v>
      </x:c>
      <x:c r="B22" s="14" t="n">
        <x:f>AVERAGE('逐折明细'!O2:O11)</x:f>
        <x:v>1.5924381931374227</x:v>
      </x:c>
      <x:c r="C22" s="14" t="n">
        <x:f>_xlfn.STDEV.P('逐折明细'!O2:O11)</x:f>
        <x:v>2.6769581041350152</x:v>
      </x:c>
      <x:c r="D22" s="14" t="n">
        <x:f>MAX('逐折明细'!O2:O11)</x:f>
        <x:v>8.114482043116368</x:v>
      </x:c>
      <x:c r="E22" s="10" t="n">
        <x:f>COUNTIFS('逐折明细'!O2:O11,"&lt;=0.5")</x:f>
        <x:v>6</x:v>
      </x:c>
      <x:c r="F22" s="14" t="n">
        <x:f>AVERAGE('逐折明细'!P2:P11)</x:f>
        <x:v>119.92158937571949</x:v>
      </x:c>
      <x:c r="G22" s="14" t="n">
        <x:f>AVERAGE('逐折明细'!Q2:Q11)</x:f>
        <x:v>118.32915118258207</x:v>
      </x:c>
      <x:c r="H22" s="14" t="n">
        <x:v>74.72</x:v>
      </x:c>
      <x:c r="I22" s="1"/>
      <x:c r="J22" s="1"/>
      <x:c r="K22" s="1"/>
    </x:row>
    <x:row r="23" ht="28" customHeight="1">
      <x:c r="A23" s="13" t="str">
        <x:v>组员 low80 + HistGB</x:v>
      </x:c>
      <x:c r="B23" s="15" t="n">
        <x:f>AVERAGE('逐折明细'!O12:O21)</x:f>
        <x:v>1.4792281745994842</x:v>
      </x:c>
      <x:c r="C23" s="15" t="n">
        <x:f>_xlfn.STDEV.P('逐折明细'!O12:O21)</x:f>
        <x:v>2.538465896487768</x:v>
      </x:c>
      <x:c r="D23" s="15" t="n">
        <x:f>MAX('逐折明细'!O12:O21)</x:f>
        <x:v>8.114482043116368</x:v>
      </x:c>
      <x:c r="E23" s="21" t="n">
        <x:f>COUNTIFS('逐折明细'!O12:O21,"&lt;=0.5")</x:f>
        <x:v>6</x:v>
      </x:c>
      <x:c r="F23" s="15" t="n">
        <x:f>AVERAGE('逐折明细'!P12:P21)</x:f>
        <x:v>119.80837935718155</x:v>
      </x:c>
      <x:c r="G23" s="15" t="n">
        <x:f>AVERAGE('逐折明细'!Q12:Q21)</x:f>
        <x:v>118.32915118258207</x:v>
      </x:c>
      <x:c r="H23" s="15" t="n">
        <x:v>74.5</x:v>
      </x:c>
      <x:c r="I23" s="1"/>
      <x:c r="J23" s="1"/>
      <x:c r="K23" s="1"/>
    </x:row>
    <x:row r="24" ht="28" customHeight="1">
      <x:c r="A24" s="1" t="str">
        <x:v>组员 low60 + HistGB</x:v>
      </x:c>
      <x:c r="B24" s="14" t="n">
        <x:f>AVERAGE('逐折明细'!O22:O31)</x:f>
        <x:v>0.41066902661877974</x:v>
      </x:c>
      <x:c r="C24" s="14" t="n">
        <x:f>_xlfn.STDEV.P('逐折明细'!O22:O31)</x:f>
        <x:v>0.6330619652042198</x:v>
      </x:c>
      <x:c r="D24" s="14" t="n">
        <x:f>MAX('逐折明细'!O22:O31)</x:f>
        <x:v>1.5887428417863703</x:v>
      </x:c>
      <x:c r="E24" s="10" t="n">
        <x:f>COUNTIFS('逐折明细'!O22:O31,"&lt;=0.5")</x:f>
        <x:v>7</x:v>
      </x:c>
      <x:c r="F24" s="14" t="n">
        <x:f>AVERAGE('逐折明细'!P22:P31)</x:f>
        <x:v>118.73982020920084</x:v>
      </x:c>
      <x:c r="G24" s="14" t="n">
        <x:f>AVERAGE('逐折明细'!Q22:Q31)</x:f>
        <x:v>118.32915118258207</x:v>
      </x:c>
      <x:c r="H24" s="14" t="n">
        <x:v>74.21</x:v>
      </x:c>
      <x:c r="I24" s="1"/>
      <x:c r="J24" s="1"/>
      <x:c r="K24" s="1"/>
    </x:row>
    <x:row r="25" ht="28" customHeight="1">
      <x:c r="A25" s="13" t="str">
        <x:v>组员 low90_w20x3 + HistGB</x:v>
      </x:c>
      <x:c r="B25" s="15" t="n">
        <x:f>AVERAGE('逐折明细'!O32:O41)</x:f>
        <x:v>1.1510284193655025</x:v>
      </x:c>
      <x:c r="C25" s="15" t="n">
        <x:f>_xlfn.STDEV.P('逐折明细'!O32:O41)</x:f>
        <x:v>1.7486759078019896</x:v>
      </x:c>
      <x:c r="D25" s="15" t="n">
        <x:f>MAX('逐折明细'!O32:O41)</x:f>
        <x:v>4.832484490776551</x:v>
      </x:c>
      <x:c r="E25" s="21" t="n">
        <x:f>COUNTIFS('逐折明细'!O32:O41,"&lt;=0.5")</x:f>
        <x:v>6</x:v>
      </x:c>
      <x:c r="F25" s="15" t="n">
        <x:f>AVERAGE('逐折明细'!P32:P41)</x:f>
        <x:v>119.48017960194757</x:v>
      </x:c>
      <x:c r="G25" s="15" t="n">
        <x:f>AVERAGE('逐折明细'!Q32:Q41)</x:f>
        <x:v>118.32915118258207</x:v>
      </x:c>
      <x:c r="H25" s="15" t="n">
        <x:v>73.73</x:v>
      </x:c>
      <x:c r="I25" s="1"/>
      <x:c r="J25" s="1"/>
      <x:c r="K25" s="1"/>
    </x:row>
    <x:row r="26" ht="28" customHeight="1">
      <x:c r="A26" s="1" t="str">
        <x:v>组员 tiered + HistGB</x:v>
      </x:c>
      <x:c r="B26" s="14" t="n">
        <x:f>AVERAGE('逐折明细'!O42:O51)</x:f>
        <x:v>1.5924381931374227</x:v>
      </x:c>
      <x:c r="C26" s="14" t="n">
        <x:f>_xlfn.STDEV.P('逐折明细'!O42:O51)</x:f>
        <x:v>2.6769581041350152</x:v>
      </x:c>
      <x:c r="D26" s="14" t="n">
        <x:f>MAX('逐折明细'!O42:O51)</x:f>
        <x:v>8.114482043116368</x:v>
      </x:c>
      <x:c r="E26" s="10" t="n">
        <x:f>COUNTIFS('逐折明细'!O42:O51,"&lt;=0.5")</x:f>
        <x:v>6</x:v>
      </x:c>
      <x:c r="F26" s="14" t="n">
        <x:f>AVERAGE('逐折明细'!P42:P51)</x:f>
        <x:v>119.92158937571949</x:v>
      </x:c>
      <x:c r="G26" s="14" t="n">
        <x:f>AVERAGE('逐折明细'!Q42:Q51)</x:f>
        <x:v>118.32915118258207</x:v>
      </x:c>
      <x:c r="H26" s="14" t="n">
        <x:v>73.26</x:v>
      </x:c>
      <x:c r="I26" s="1"/>
      <x:c r="J26" s="1"/>
      <x:c r="K26" s="1"/>
    </x:row>
    <x:row r="27" ht="28" customHeight="1">
      <x:c r="A27" s="13" t="str">
        <x:v>原决赛圈 原始XGBoost</x:v>
      </x:c>
      <x:c r="B27" s="15" t="n">
        <x:f>AVERAGE('逐折明细'!O52:O61)</x:f>
        <x:v>2.2447310164341614</x:v>
      </x:c>
      <x:c r="C27" s="15" t="n">
        <x:f>_xlfn.STDEV.P('逐折明细'!O52:O61)</x:f>
        <x:v>2.9863030702458313</x:v>
      </x:c>
      <x:c r="D27" s="15" t="n">
        <x:f>MAX('逐折明细'!O52:O61)</x:f>
        <x:v>8.114482043116368</x:v>
      </x:c>
      <x:c r="E27" s="21" t="n">
        <x:f>COUNTIFS('逐折明细'!O52:O61,"&lt;=0.5")</x:f>
        <x:v>5</x:v>
      </x:c>
      <x:c r="F27" s="15" t="n">
        <x:f>AVERAGE('逐折明细'!P52:P61)</x:f>
        <x:v>120.57388219901623</x:v>
      </x:c>
      <x:c r="G27" s="15" t="n">
        <x:f>AVERAGE('逐折明细'!Q52:Q61)</x:f>
        <x:v>118.32915118258207</x:v>
      </x:c>
      <x:c r="H27" s="15"/>
      <x:c r="I27" s="1"/>
      <x:c r="J27" s="1"/>
      <x:c r="K27" s="1"/>
    </x:row>
    <x:row r="28" ht="28" customHeight="1">
      <x:c r="A28" s="1" t="str">
        <x:v>原决赛圈 直方图梯度提升</x:v>
      </x:c>
      <x:c r="B28" s="14" t="n">
        <x:f>AVERAGE('逐折明细'!O62:O71)</x:f>
        <x:v>2.3609241881033087</x:v>
      </x:c>
      <x:c r="C28" s="14" t="n">
        <x:f>_xlfn.STDEV.P('逐折明细'!O62:O71)</x:f>
        <x:v>2.4683583493356953</x:v>
      </x:c>
      <x:c r="D28" s="14" t="n">
        <x:f>MAX('逐折明细'!O62:O71)</x:f>
        <x:v>8.114482043116368</x:v>
      </x:c>
      <x:c r="E28" s="10" t="n">
        <x:f>COUNTIFS('逐折明细'!O62:O71,"&lt;=0.5")</x:f>
        <x:v>3</x:v>
      </x:c>
      <x:c r="F28" s="14" t="n">
        <x:f>AVERAGE('逐折明细'!P62:P71)</x:f>
        <x:v>120.69007537068538</x:v>
      </x:c>
      <x:c r="G28" s="14" t="n">
        <x:f>AVERAGE('逐折明细'!Q62:Q71)</x:f>
        <x:v>118.32915118258207</x:v>
      </x:c>
      <x:c r="H28" s="14"/>
      <x:c r="I28" s="1"/>
      <x:c r="J28" s="1"/>
      <x:c r="K28" s="1"/>
    </x:row>
    <x:row r="29" ht="28" customHeight="1">
      <x:c r="A29" s="13" t="str">
        <x:v>原决赛圈 低值加权XGBoost</x:v>
      </x:c>
      <x:c r="B29" s="15" t="n">
        <x:f>AVERAGE('逐折明细'!O72:O81)</x:f>
        <x:v>1.4921003199176994</x:v>
      </x:c>
      <x:c r="C29" s="15" t="n">
        <x:f>_xlfn.STDEV.P('逐折明细'!O72:O81)</x:f>
        <x:v>1.8519215551458608</x:v>
      </x:c>
      <x:c r="D29" s="15" t="n">
        <x:f>MAX('逐折明细'!O72:O81)</x:f>
        <x:v>5.291952463856433</x:v>
      </x:c>
      <x:c r="E29" s="21" t="n">
        <x:f>COUNTIFS('逐折明细'!O72:O81,"&lt;=0.5")</x:f>
        <x:v>5</x:v>
      </x:c>
      <x:c r="F29" s="15" t="n">
        <x:f>AVERAGE('逐折明细'!P72:P81)</x:f>
        <x:v>119.82125150249976</x:v>
      </x:c>
      <x:c r="G29" s="15" t="n">
        <x:f>AVERAGE('逐折明细'!Q72:Q81)</x:f>
        <x:v>118.32915118258207</x:v>
      </x:c>
      <x:c r="H29" s="15"/>
      <x:c r="I29" s="1"/>
      <x:c r="J29" s="1"/>
      <x:c r="K29" s="1"/>
    </x:row>
    <x:row r="30" ht="28" customHeight="1">
      <x:c r="A30" s="1" t="str">
        <x:v>原决赛圈 极端随机树</x:v>
      </x:c>
      <x:c r="B30" s="14" t="n">
        <x:f>AVERAGE('逐折明细'!O82:O91)</x:f>
        <x:v>4.512609182593951</x:v>
      </x:c>
      <x:c r="C30" s="14" t="n">
        <x:f>_xlfn.STDEV.P('逐折明细'!O82:O91)</x:f>
        <x:v>3.612149514730074</x:v>
      </x:c>
      <x:c r="D30" s="14" t="n">
        <x:f>MAX('逐折明细'!O82:O91)</x:f>
        <x:v>10.449683351092972</x:v>
      </x:c>
      <x:c r="E30" s="10" t="n">
        <x:f>COUNTIFS('逐折明细'!O82:O91,"&lt;=0.5")</x:f>
        <x:v>1</x:v>
      </x:c>
      <x:c r="F30" s="14" t="n">
        <x:f>AVERAGE('逐折明细'!P82:P91)</x:f>
        <x:v>122.84176036517601</x:v>
      </x:c>
      <x:c r="G30" s="14" t="n">
        <x:f>AVERAGE('逐折明细'!Q82:Q91)</x:f>
        <x:v>118.32915118258207</x:v>
      </x:c>
      <x:c r="H30" s="14"/>
      <x:c r="I30" s="1"/>
      <x:c r="J30" s="1"/>
      <x:c r="K30" s="1"/>
    </x:row>
    <x:row r="31" ht="28" customHeight="1">
      <x:c r="A31" s="13" t="str">
        <x:v>原决赛圈 核岭回归</x:v>
      </x:c>
      <x:c r="B31" s="15" t="n">
        <x:f>AVERAGE('逐折明细'!O92:O101)</x:f>
        <x:v>5.038731415525035</x:v>
      </x:c>
      <x:c r="C31" s="15" t="n">
        <x:f>_xlfn.STDEV.P('逐折明细'!O92:O101)</x:f>
        <x:v>4.445802402702819</x:v>
      </x:c>
      <x:c r="D31" s="15" t="n">
        <x:f>MAX('逐折明细'!O92:O101)</x:f>
        <x:v>11.790889714067816</x:v>
      </x:c>
      <x:c r="E31" s="21" t="n">
        <x:f>COUNTIFS('逐折明细'!O92:O101,"&lt;=0.5")</x:f>
        <x:v>3</x:v>
      </x:c>
      <x:c r="F31" s="15" t="n">
        <x:f>AVERAGE('逐折明细'!P92:P101)</x:f>
        <x:v>123.3678825981071</x:v>
      </x:c>
      <x:c r="G31" s="15" t="n">
        <x:f>AVERAGE('逐折明细'!Q92:Q101)</x:f>
        <x:v>118.32915118258207</x:v>
      </x:c>
      <x:c r="H31" s="15"/>
      <x:c r="I31" s="1"/>
      <x:c r="J31" s="1"/>
      <x:c r="K31" s="1"/>
    </x:row>
    <x:row r="32" ht="28" customHeight="1">
      <x:c r="A32" s="1" t="str">
        <x:v>原决赛圈 二次岭回归</x:v>
      </x:c>
      <x:c r="B32" s="14" t="n">
        <x:f>AVERAGE('逐折明细'!O102:O111)</x:f>
        <x:v>4.509536169139392</x:v>
      </x:c>
      <x:c r="C32" s="14" t="n">
        <x:f>_xlfn.STDEV.P('逐折明细'!O102:O111)</x:f>
        <x:v>4.692289497988065</x:v>
      </x:c>
      <x:c r="D32" s="14" t="n">
        <x:f>MAX('逐折明细'!O102:O111)</x:f>
        <x:v>11.790889714067816</x:v>
      </x:c>
      <x:c r="E32" s="10" t="n">
        <x:f>COUNTIFS('逐折明细'!O102:O111,"&lt;=0.5")</x:f>
        <x:v>4</x:v>
      </x:c>
      <x:c r="F32" s="14" t="n">
        <x:f>AVERAGE('逐折明细'!P102:P111)</x:f>
        <x:v>122.83868735172146</x:v>
      </x:c>
      <x:c r="G32" s="14" t="n">
        <x:f>AVERAGE('逐折明细'!Q102:Q111)</x:f>
        <x:v>118.32915118258207</x:v>
      </x:c>
      <x:c r="H32" s="14"/>
      <x:c r="I32" s="1"/>
      <x:c r="J32" s="1"/>
      <x:c r="K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5" customHeight="1">
      <x:c r="A35" s="12" t="str">
        <x:v>所有第一推荐均来自当前外层测试集，差距以该测试集真实最低值为基准，不调用模拟器。</x:v>
      </x:c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 ht="25" customHeight="1">
      <x:c r="A36" s="12" t="str">
        <x:v>截图总分在两位小数上全部复现；截图SD为样本SD，综合评分页同时列出两种口径。</x:v>
      </x:c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 ht="25" customHeight="1">
      <x:c r="A37" s="12" t="str">
        <x:v>各策略原先的选参目标不同；这些是现成模型在相同外层候选上的表现，不是新一轮训练结果。</x:v>
      </x:c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9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40" customHeight="1">
      <x:c r="A1" s="6" t="str">
        <x:v>模型</x:v>
      </x:c>
      <x:c r="B1" s="6" t="str">
        <x:v>外层分折</x:v>
      </x:c>
      <x:c r="C1" s="6" t="str">
        <x:v>低值排序 /35</x:v>
      </x:c>
      <x:c r="D1" s="6" t="str">
        <x:v>低值MAE /15</x:v>
      </x:c>
      <x:c r="E1" s="6" t="str">
        <x:v>全局排序 /15</x:v>
      </x:c>
      <x:c r="F1" s="6" t="str">
        <x:v>全局MAE /15</x:v>
      </x:c>
      <x:c r="G1" s="6" t="str">
        <x:v>第一推荐 /20</x:v>
      </x:c>
      <x:c r="H1" s="6" t="str">
        <x:v>总分</x:v>
      </x:c>
      <x:c r="I1" s="6" t="str">
        <x:v>低值MAE</x:v>
      </x:c>
      <x:c r="J1" s="6" t="str">
        <x:v>全局MAE</x:v>
      </x:c>
      <x:c r="K1" s="6" t="str">
        <x:v>低值偏差</x:v>
      </x:c>
      <x:c r="L1" s="6" t="str">
        <x:v>全局偏差</x:v>
      </x:c>
      <x:c r="M1" s="6" t="str">
        <x:v>低值排序正确率</x:v>
      </x:c>
      <x:c r="N1" s="6" t="str">
        <x:v>全局排序正确率</x:v>
      </x:c>
      <x:c r="O1" s="6" t="str">
        <x:v>第一推荐差距</x:v>
      </x:c>
      <x:c r="P1" s="6" t="str">
        <x:v>推荐真实值</x:v>
      </x:c>
      <x:c r="Q1" s="6" t="str">
        <x:v>测试最优值</x:v>
      </x:c>
      <x:c r="R1" s="6" t="str">
        <x:v>第一推荐ID</x:v>
      </x:c>
      <x:c r="S1" s="6" t="str">
        <x:v>原始召回率</x:v>
      </x:c>
      <x:c r="T1" s="6" t="str">
        <x:v>优秀样本数</x:v>
      </x:c>
      <x:c r="U1" s="6" t="str">
        <x:v>测试样本数</x:v>
      </x:c>
      <x:c r="V1" s="6" t="str">
        <x:v>训练标准差s</x:v>
      </x:c>
      <x:c r="W1" s="6" t="str">
        <x:v>来源</x:v>
      </x:c>
    </x:row>
    <x:row r="2" ht="25" customHeight="1">
      <x:c r="A2" s="1" t="str">
        <x:v>组员 low90_w20x3 + XGBoost</x:v>
      </x:c>
      <x:c r="B2" s="1" t="str">
        <x:v>r01_f01</x:v>
      </x:c>
      <x:c r="C2" s="7" t="n">
        <x:v>20.16257878951251</x:v>
      </x:c>
      <x:c r="D2" s="7" t="n">
        <x:v>11.244983215798719</x:v>
      </x:c>
      <x:c r="E2" s="7" t="n">
        <x:v>12.686159942023647</x:v>
      </x:c>
      <x:c r="F2" s="7" t="n">
        <x:v>11.345435324140286</x:v>
      </x:c>
      <x:c r="G2" s="7" t="n">
        <x:v>18.52820804477397</x:v>
      </x:c>
      <x:c r="H2" s="7" t="n">
        <x:v>73.96736531624913</x:v>
      </x:c>
      <x:c r="I2" s="7" t="n">
        <x:v>5.309153634160008</x:v>
      </x:c>
      <x:c r="J2" s="7" t="n">
        <x:v>5.121376562770059</x:v>
      </x:c>
      <x:c r="K2" s="7" t="n">
        <x:v>5.265434706712726</x:v>
      </x:c>
      <x:c r="L2" s="7" t="n">
        <x:v>-2.0277498050107012</x:v>
      </x:c>
      <x:c r="M2" s="8" t="n">
        <x:v>0.7880368398501787</x:v>
      </x:c>
      <x:c r="N2" s="8" t="n">
        <x:v>0.9228719980674549</x:v>
      </x:c>
      <x:c r="O2" s="7" t="n">
        <x:v>1.2629472981207073</x:v>
      </x:c>
      <x:c r="P2" s="7" t="n">
        <x:v>120.59730374994979</x:v>
      </x:c>
      <x:c r="Q2" s="7" t="n">
        <x:v>119.33435645182908</x:v>
      </x:c>
      <x:c r="R2" s="9" t="str">
        <x:v>p01024</x:v>
      </x:c>
      <x:c r="S2" s="8" t="n">
        <x:v>0.7727272727272727</x:v>
      </x:c>
      <x:c r="T2" s="10" t="n">
        <x:v>22</x:v>
      </x:c>
      <x:c r="U2" s="10" t="n">
        <x:v>410</x:v>
      </x:c>
      <x:c r="V2" s="7" t="n">
        <x:v>15.899088322963365</x:v>
      </x:c>
      <x:c r="W2" s="1" t="str">
        <x:v>peer</x:v>
      </x:c>
    </x:row>
    <x:row r="3" ht="25" customHeight="1">
      <x:c r="A3" s="1" t="str">
        <x:v>组员 low90_w20x3 + XGBoost</x:v>
      </x:c>
      <x:c r="B3" s="1" t="str">
        <x:v>r01_f02</x:v>
      </x:c>
      <x:c r="C3" s="7" t="n">
        <x:v>11.658755917705893</x:v>
      </x:c>
      <x:c r="D3" s="7" t="n">
        <x:v>10.053637608100418</x:v>
      </x:c>
      <x:c r="E3" s="7" t="n">
        <x:v>12.917133913468833</x:v>
      </x:c>
      <x:c r="F3" s="7" t="n">
        <x:v>10.989727158877542</x:v>
      </x:c>
      <x:c r="G3" s="7" t="n">
        <x:v>13.104455440705978</x:v>
      </x:c>
      <x:c r="H3" s="7" t="n">
        <x:v>58.72371003885866</x:v>
      </x:c>
      <x:c r="I3" s="7" t="n">
        <x:v>7.587066969833249</x:v>
      </x:c>
      <x:c r="J3" s="7" t="n">
        <x:v>5.627276090648067</x:v>
      </x:c>
      <x:c r="K3" s="7" t="n">
        <x:v>6.9054330893176665</x:v>
      </x:c>
      <x:c r="L3" s="7" t="n">
        <x:v>-1.9460150634497995</x:v>
      </x:c>
      <x:c r="M3" s="8" t="n">
        <x:v>0.666553655967227</x:v>
      </x:c>
      <x:c r="N3" s="8" t="n">
        <x:v>0.9305711304489611</x:v>
      </x:c>
      <x:c r="O3" s="7" t="n">
        <x:v>8.114482043116368</x:v>
      </x:c>
      <x:c r="P3" s="7" t="n">
        <x:v>128.233847154479</x:v>
      </x:c>
      <x:c r="Q3" s="7" t="n">
        <x:v>120.11936511136264</x:v>
      </x:c>
      <x:c r="R3" s="9" t="str">
        <x:v>p01879</x:v>
      </x:c>
      <x:c r="S3" s="8" t="n">
        <x:v>0.72</x:v>
      </x:c>
      <x:c r="T3" s="10" t="n">
        <x:v>25</x:v>
      </x:c>
      <x:c r="U3" s="10" t="n">
        <x:v>410</x:v>
      </x:c>
      <x:c r="V3" s="7" t="n">
        <x:v>15.42095297101729</x:v>
      </x:c>
      <x:c r="W3" s="1" t="str">
        <x:v>peer</x:v>
      </x:c>
    </x:row>
    <x:row r="4" ht="25" customHeight="1">
      <x:c r="A4" s="1" t="str">
        <x:v>组员 low90_w20x3 + XGBoost</x:v>
      </x:c>
      <x:c r="B4" s="1" t="str">
        <x:v>r01_f03</x:v>
      </x:c>
      <x:c r="C4" s="7" t="n">
        <x:v>21.638024886428628</x:v>
      </x:c>
      <x:c r="D4" s="7" t="n">
        <x:v>10.033072361590966</x:v>
      </x:c>
      <x:c r="E4" s="7" t="n">
        <x:v>12.766542736613507</x:v>
      </x:c>
      <x:c r="F4" s="7" t="n">
        <x:v>11.312141365326124</x:v>
      </x:c>
      <x:c r="G4" s="7" t="n">
        <x:v>20</x:v>
      </x:c>
      <x:c r="H4" s="7" t="n">
        <x:v>75.74978134995922</x:v>
      </x:c>
      <x:c r="I4" s="7" t="n">
        <x:v>7.860883077034295</x:v>
      </x:c>
      <x:c r="J4" s="7" t="n">
        <x:v>5.1766271943138324</x:v>
      </x:c>
      <x:c r="K4" s="7" t="n">
        <x:v>7.747049833386595</x:v>
      </x:c>
      <x:c r="L4" s="7" t="n">
        <x:v>-1.699755315298741</x:v>
      </x:c>
      <x:c r="M4" s="8" t="n">
        <x:v>0.8091146412346947</x:v>
      </x:c>
      <x:c r="N4" s="8" t="n">
        <x:v>0.9255514245537836</x:v>
      </x:c>
      <x:c r="O4" s="7" t="n">
        <x:v>0</x:v>
      </x:c>
      <x:c r="P4" s="7" t="n">
        <x:v>115.76481925917324</x:v>
      </x:c>
      <x:c r="Q4" s="7" t="n">
        <x:v>115.76481925917324</x:v>
      </x:c>
      <x:c r="R4" s="9" t="str">
        <x:v>p01969</x:v>
      </x:c>
      <x:c r="S4" s="8" t="n">
        <x:v>0.42105263157894735</x:v>
      </x:c>
      <x:c r="T4" s="10" t="n">
        <x:v>19</x:v>
      </x:c>
      <x:c r="U4" s="10" t="n">
        <x:v>410</x:v>
      </x:c>
      <x:c r="V4" s="7" t="n">
        <x:v>15.8787915748967</x:v>
      </x:c>
      <x:c r="W4" s="1" t="str">
        <x:v>peer</x:v>
      </x:c>
    </x:row>
    <x:row r="5" ht="25" customHeight="1">
      <x:c r="A5" s="1" t="str">
        <x:v>组员 low90_w20x3 + XGBoost</x:v>
      </x:c>
      <x:c r="B5" s="1" t="str">
        <x:v>r01_f04</x:v>
      </x:c>
      <x:c r="C5" s="7" t="n">
        <x:v>30.338421350665456</x:v>
      </x:c>
      <x:c r="D5" s="7" t="n">
        <x:v>11.176880339989602</x:v>
      </x:c>
      <x:c r="E5" s="7" t="n">
        <x:v>13.184943997673754</x:v>
      </x:c>
      <x:c r="F5" s="7" t="n">
        <x:v>11.524124564163078</x:v>
      </x:c>
      <x:c r="G5" s="7" t="n">
        <x:v>20</x:v>
      </x:c>
      <x:c r="H5" s="7" t="n">
        <x:v>86.2243702524919</x:v>
      </x:c>
      <x:c r="I5" s="7" t="n">
        <x:v>5.398723808475177</x:v>
      </x:c>
      <x:c r="J5" s="7" t="n">
        <x:v>4.760472719123688</x:v>
      </x:c>
      <x:c r="K5" s="7" t="n">
        <x:v>5.065810807222346</x:v>
      </x:c>
      <x:c r="L5" s="7" t="n">
        <x:v>-1.4713968476504165</x:v>
      </x:c>
      <x:c r="M5" s="8" t="n">
        <x:v>0.9334060192952208</x:v>
      </x:c>
      <x:c r="N5" s="8" t="n">
        <x:v>0.9394981332557918</x:v>
      </x:c>
      <x:c r="O5" s="7" t="n">
        <x:v>0</x:v>
      </x:c>
      <x:c r="P5" s="7" t="n">
        <x:v>118.06331726303324</x:v>
      </x:c>
      <x:c r="Q5" s="7" t="n">
        <x:v>118.06331726303324</x:v>
      </x:c>
      <x:c r="R5" s="9" t="str">
        <x:v>p01631</x:v>
      </x:c>
      <x:c r="S5" s="8" t="n">
        <x:v>0.7058823529411765</x:v>
      </x:c>
      <x:c r="T5" s="10" t="n">
        <x:v>17</x:v>
      </x:c>
      <x:c r="U5" s="10" t="n">
        <x:v>409</x:v>
      </x:c>
      <x:c r="V5" s="7" t="n">
        <x:v>15.783154952522695</x:v>
      </x:c>
      <x:c r="W5" s="1" t="str">
        <x:v>peer</x:v>
      </x:c>
    </x:row>
    <x:row r="6" ht="25" customHeight="1">
      <x:c r="A6" s="1" t="str">
        <x:v>组员 low90_w20x3 + XGBoost</x:v>
      </x:c>
      <x:c r="B6" s="1" t="str">
        <x:v>r01_f05</x:v>
      </x:c>
      <x:c r="C6" s="7" t="n">
        <x:v>21.82142646614506</x:v>
      </x:c>
      <x:c r="D6" s="7" t="n">
        <x:v>10.944111771609752</x:v>
      </x:c>
      <x:c r="E6" s="7" t="n">
        <x:v>12.523777447781391</x:v>
      </x:c>
      <x:c r="F6" s="7" t="n">
        <x:v>11.244359276607028</x:v>
      </x:c>
      <x:c r="G6" s="7" t="n">
        <x:v>20</x:v>
      </x:c>
      <x:c r="H6" s="7" t="n">
        <x:v>76.53367496214324</x:v>
      </x:c>
      <x:c r="I6" s="7" t="n">
        <x:v>5.873294441943426</x:v>
      </x:c>
      <x:c r="J6" s="7" t="n">
        <x:v>5.293289427946476</x:v>
      </x:c>
      <x:c r="K6" s="7" t="n">
        <x:v>5.873294441943426</x:v>
      </x:c>
      <x:c r="L6" s="7" t="n">
        <x:v>-1.7691338490959003</x:v>
      </x:c>
      <x:c r="M6" s="8" t="n">
        <x:v>0.8117346638020723</x:v>
      </x:c>
      <x:c r="N6" s="8" t="n">
        <x:v>0.9174592482593797</x:v>
      </x:c>
      <x:c r="O6" s="7" t="n">
        <x:v>0</x:v>
      </x:c>
      <x:c r="P6" s="7" t="n">
        <x:v>117.58323827682761</x:v>
      </x:c>
      <x:c r="Q6" s="7" t="n">
        <x:v>117.58323827682761</x:v>
      </x:c>
      <x:c r="R6" s="9" t="str">
        <x:v>p00256</x:v>
      </x:c>
      <x:c r="S6" s="8" t="n">
        <x:v>0.85</x:v>
      </x:c>
      <x:c r="T6" s="10" t="n">
        <x:v>20</x:v>
      </x:c>
      <x:c r="U6" s="10" t="n">
        <x:v>409</x:v>
      </x:c>
      <x:c r="V6" s="7" t="n">
        <x:v>15.848067604593389</x:v>
      </x:c>
      <x:c r="W6" s="1" t="str">
        <x:v>peer</x:v>
      </x:c>
    </x:row>
    <x:row r="7" ht="25" customHeight="1">
      <x:c r="A7" s="1" t="str">
        <x:v>组员 low90_w20x3 + XGBoost</x:v>
      </x:c>
      <x:c r="B7" s="1" t="str">
        <x:v>r02_f01</x:v>
      </x:c>
      <x:c r="C7" s="7" t="n">
        <x:v>14.392129259854585</x:v>
      </x:c>
      <x:c r="D7" s="7" t="n">
        <x:v>10.852292235302532</x:v>
      </x:c>
      <x:c r="E7" s="7" t="n">
        <x:v>12.350200834733405</x:v>
      </x:c>
      <x:c r="F7" s="7" t="n">
        <x:v>11.189142809470955</x:v>
      </x:c>
      <x:c r="G7" s="7" t="n">
        <x:v>20</x:v>
      </x:c>
      <x:c r="H7" s="7" t="n">
        <x:v>68.78376513936148</x:v>
      </x:c>
      <x:c r="I7" s="7" t="n">
        <x:v>6.01880053956716</x:v>
      </x:c>
      <x:c r="J7" s="7" t="n">
        <x:v>5.363510546825114</x:v>
      </x:c>
      <x:c r="K7" s="7" t="n">
        <x:v>5.78946944292319</x:v>
      </x:c>
      <x:c r="L7" s="7" t="n">
        <x:v>-1.817982598596334</x:v>
      </x:c>
      <x:c r="M7" s="8" t="n">
        <x:v>0.7056018465693512</x:v>
      </x:c>
      <x:c r="N7" s="8" t="n">
        <x:v>0.9116733611577802</x:v>
      </x:c>
      <x:c r="O7" s="7" t="n">
        <x:v>0</x:v>
      </x:c>
      <x:c r="P7" s="7" t="n">
        <x:v>120.42639321752358</x:v>
      </x:c>
      <x:c r="Q7" s="7" t="n">
        <x:v>120.42639321752358</x:v>
      </x:c>
      <x:c r="R7" s="9" t="str">
        <x:v>p01197</x:v>
      </x:c>
      <x:c r="S7" s="8" t="n">
        <x:v>0.5555555555555556</x:v>
      </x:c>
      <x:c r="T7" s="10" t="n">
        <x:v>18</x:v>
      </x:c>
      <x:c r="U7" s="10" t="n">
        <x:v>410</x:v>
      </x:c>
      <x:c r="V7" s="7" t="n">
        <x:v>15.747922965383665</x:v>
      </x:c>
      <x:c r="W7" s="1" t="str">
        <x:v>peer</x:v>
      </x:c>
    </x:row>
    <x:row r="8" ht="25" customHeight="1">
      <x:c r="A8" s="1" t="str">
        <x:v>组员 low90_w20x3 + XGBoost</x:v>
      </x:c>
      <x:c r="B8" s="1" t="str">
        <x:v>r02_f02</x:v>
      </x:c>
      <x:c r="C8" s="7" t="n">
        <x:v>27.803075032438798</x:v>
      </x:c>
      <x:c r="D8" s="7" t="n">
        <x:v>10.901878082139657</x:v>
      </x:c>
      <x:c r="E8" s="7" t="n">
        <x:v>12.826031641766333</x:v>
      </x:c>
      <x:c r="F8" s="7" t="n">
        <x:v>11.315410978455882</x:v>
      </x:c>
      <x:c r="G8" s="7" t="n">
        <x:v>20</x:v>
      </x:c>
      <x:c r="H8" s="7" t="n">
        <x:v>82.84639573480067</x:v>
      </x:c>
      <x:c r="I8" s="7" t="n">
        <x:v>5.966801366924179</x:v>
      </x:c>
      <x:c r="J8" s="7" t="n">
        <x:v>5.168645526102194</x:v>
      </x:c>
      <x:c r="K8" s="7" t="n">
        <x:v>5.025619973188138</x:v>
      </x:c>
      <x:c r="L8" s="7" t="n">
        <x:v>-2.0574687261609252</x:v>
      </x:c>
      <x:c r="M8" s="8" t="n">
        <x:v>0.8971867861776971</x:v>
      </x:c>
      <x:c r="N8" s="8" t="n">
        <x:v>0.9275343880588778</x:v>
      </x:c>
      <x:c r="O8" s="7" t="n">
        <x:v>0</x:v>
      </x:c>
      <x:c r="P8" s="7" t="n">
        <x:v>118.06331726303324</x:v>
      </x:c>
      <x:c r="Q8" s="7" t="n">
        <x:v>118.06331726303324</x:v>
      </x:c>
      <x:c r="R8" s="9" t="str">
        <x:v>p01631</x:v>
      </x:c>
      <x:c r="S8" s="8" t="n">
        <x:v>0.5333333333333333</x:v>
      </x:c>
      <x:c r="T8" s="10" t="n">
        <x:v>15</x:v>
      </x:c>
      <x:c r="U8" s="10" t="n">
        <x:v>410</x:v>
      </x:c>
      <x:c r="V8" s="7" t="n">
        <x:v>15.872963846940493</x:v>
      </x:c>
      <x:c r="W8" s="1" t="str">
        <x:v>peer</x:v>
      </x:c>
    </x:row>
    <x:row r="9" ht="25" customHeight="1">
      <x:c r="A9" s="1" t="str">
        <x:v>组员 low90_w20x3 + XGBoost</x:v>
      </x:c>
      <x:c r="B9" s="1" t="str">
        <x:v>r02_f03</x:v>
      </x:c>
      <x:c r="C9" s="7" t="n">
        <x:v>14.883641839580902</x:v>
      </x:c>
      <x:c r="D9" s="7" t="n">
        <x:v>10.481274890774387</x:v>
      </x:c>
      <x:c r="E9" s="7" t="n">
        <x:v>13.242970363755841</x:v>
      </x:c>
      <x:c r="F9" s="7" t="n">
        <x:v>11.227464857679555</x:v>
      </x:c>
      <x:c r="G9" s="7" t="n">
        <x:v>18.505668449197703</x:v>
      </x:c>
      <x:c r="H9" s="7" t="n">
        <x:v>68.34102040098838</x:v>
      </x:c>
      <x:c r="I9" s="7" t="n">
        <x:v>6.700441063306092</x:v>
      </x:c>
      <x:c r="J9" s="7" t="n">
        <x:v>5.222196027915663</x:v>
      </x:c>
      <x:c r="K9" s="7" t="n">
        <x:v>6.489873409305953</x:v>
      </x:c>
      <x:c r="L9" s="7" t="n">
        <x:v>-1.4059986527258066</x:v>
      </x:c>
      <x:c r="M9" s="8" t="n">
        <x:v>0.7126234548511557</x:v>
      </x:c>
      <x:c r="N9" s="8" t="n">
        <x:v>0.941432345458528</x:v>
      </x:c>
      <x:c r="O9" s="7" t="n">
        <x:v>1.25500012628072</x:v>
      </x:c>
      <x:c r="P9" s="7" t="n">
        <x:v>121.84364757331787</x:v>
      </x:c>
      <x:c r="Q9" s="7" t="n">
        <x:v>120.58864744703715</x:v>
      </x:c>
      <x:c r="R9" s="9" t="str">
        <x:v>p00985</x:v>
      </x:c>
      <x:c r="S9" s="8" t="n">
        <x:v>0.7083333333333334</x:v>
      </x:c>
      <x:c r="T9" s="10" t="n">
        <x:v>24</x:v>
      </x:c>
      <x:c r="U9" s="10" t="n">
        <x:v>410</x:v>
      </x:c>
      <x:c r="V9" s="7" t="n">
        <x:v>15.5418094653647</x:v>
      </x:c>
      <x:c r="W9" s="1" t="str">
        <x:v>peer</x:v>
      </x:c>
    </x:row>
    <x:row r="10" ht="25" customHeight="1">
      <x:c r="A10" s="1" t="str">
        <x:v>组员 low90_w20x3 + XGBoost</x:v>
      </x:c>
      <x:c r="B10" s="1" t="str">
        <x:v>r02_f04</x:v>
      </x:c>
      <x:c r="C10" s="7" t="n">
        <x:v>30.252252860769275</x:v>
      </x:c>
      <x:c r="D10" s="7" t="n">
        <x:v>11.040330334266415</x:v>
      </x:c>
      <x:c r="E10" s="7" t="n">
        <x:v>12.564561848216037</x:v>
      </x:c>
      <x:c r="F10" s="7" t="n">
        <x:v>11.450023254990077</x:v>
      </x:c>
      <x:c r="G10" s="7" t="n">
        <x:v>15.034371040835342</x:v>
      </x:c>
      <x:c r="H10" s="7" t="n">
        <x:v>80.34153933907714</x:v>
      </x:c>
      <x:c r="I10" s="7" t="n">
        <x:v>5.746505437975884</x:v>
      </x:c>
      <x:c r="J10" s="7" t="n">
        <x:v>4.967593759450015</x:v>
      </x:c>
      <x:c r="K10" s="7" t="n">
        <x:v>5.6270925164089025</x:v>
      </x:c>
      <x:c r="L10" s="7" t="n">
        <x:v>-1.396928242134328</x:v>
      </x:c>
      <x:c r="M10" s="8" t="n">
        <x:v>0.9321750408681325</x:v>
      </x:c>
      <x:c r="N10" s="8" t="n">
        <x:v>0.9188187282738679</x:v>
      </x:c>
      <x:c r="O10" s="7" t="n">
        <x:v>5.291952463856433</x:v>
      </x:c>
      <x:c r="P10" s="7" t="n">
        <x:v>122.87519074068405</x:v>
      </x:c>
      <x:c r="Q10" s="7" t="n">
        <x:v>117.58323827682761</x:v>
      </x:c>
      <x:c r="R10" s="9" t="str">
        <x:v>p00473</x:v>
      </x:c>
      <x:c r="S10" s="8" t="n">
        <x:v>0.8</x:v>
      </x:c>
      <x:c r="T10" s="10" t="n">
        <x:v>20</x:v>
      </x:c>
      <x:c r="U10" s="10" t="n">
        <x:v>409</x:v>
      </x:c>
      <x:c r="V10" s="7" t="n">
        <x:v>16.022376525986868</x:v>
      </x:c>
      <x:c r="W10" s="1" t="str">
        <x:v>peer</x:v>
      </x:c>
    </x:row>
    <x:row r="11" ht="25" customHeight="1">
      <x:c r="A11" s="1" t="str">
        <x:v>组员 low90_w20x3 + XGBoost</x:v>
      </x:c>
      <x:c r="B11" s="1" t="str">
        <x:v>r02_f05</x:v>
      </x:c>
      <x:c r="C11" s="7" t="n">
        <x:v>21.649318133705552</x:v>
      </x:c>
      <x:c r="D11" s="7" t="n">
        <x:v>10.12396745288432</x:v>
      </x:c>
      <x:c r="E11" s="7" t="n">
        <x:v>12.757463985669759</x:v>
      </x:c>
      <x:c r="F11" s="7" t="n">
        <x:v>11.124746620543469</x:v>
      </x:c>
      <x:c r="G11" s="7" t="n">
        <x:v>20</x:v>
      </x:c>
      <x:c r="H11" s="7" t="n">
        <x:v>75.6554961928031</x:v>
      </x:c>
      <x:c r="I11" s="7" t="n">
        <x:v>7.5335814890446064</x:v>
      </x:c>
      <x:c r="J11" s="7" t="n">
        <x:v>5.448734043876824</x:v>
      </x:c>
      <x:c r="K11" s="7" t="n">
        <x:v>7.497153854325671</x:v>
      </x:c>
      <x:c r="L11" s="7" t="n">
        <x:v>-2.018230056059855</x:v>
      </x:c>
      <x:c r="M11" s="8" t="n">
        <x:v>0.8092759733386508</x:v>
      </x:c>
      <x:c r="N11" s="8" t="n">
        <x:v>0.9252487995223253</x:v>
      </x:c>
      <x:c r="O11" s="7" t="n">
        <x:v>0</x:v>
      </x:c>
      <x:c r="P11" s="7" t="n">
        <x:v>115.76481925917324</x:v>
      </x:c>
      <x:c r="Q11" s="7" t="n">
        <x:v>115.76481925917324</x:v>
      </x:c>
      <x:c r="R11" s="9" t="str">
        <x:v>p01969</x:v>
      </x:c>
      <x:c r="S11" s="8" t="n">
        <x:v>0.8076923076923077</x:v>
      </x:c>
      <x:c r="T11" s="10" t="n">
        <x:v>26</x:v>
      </x:c>
      <x:c r="U11" s="10" t="n">
        <x:v>409</x:v>
      </x:c>
      <x:c r="V11" s="7" t="n">
        <x:v>15.641760603885892</x:v>
      </x:c>
      <x:c r="W11" s="1" t="str">
        <x:v>peer</x:v>
      </x:c>
    </x:row>
    <x:row r="12" ht="25" customHeight="1">
      <x:c r="A12" s="1" t="str">
        <x:v>组员 low80 + HistGB</x:v>
      </x:c>
      <x:c r="B12" s="1" t="str">
        <x:v>r01_f01</x:v>
      </x:c>
      <x:c r="C12" s="7" t="n">
        <x:v>23.700607856058635</x:v>
      </x:c>
      <x:c r="D12" s="7" t="n">
        <x:v>11.547317490920706</x:v>
      </x:c>
      <x:c r="E12" s="7" t="n">
        <x:v>12.811140137693174</x:v>
      </x:c>
      <x:c r="F12" s="7" t="n">
        <x:v>11.243543028558758</x:v>
      </x:c>
      <x:c r="G12" s="7" t="n">
        <x:v>18.52820804477397</x:v>
      </x:c>
      <x:c r="H12" s="7" t="n">
        <x:v>77.83081655800524</x:v>
      </x:c>
      <x:c r="I12" s="7" t="n">
        <x:v>4.753875019558811</x:v>
      </x:c>
      <x:c r="J12" s="7" t="n">
        <x:v>5.311870201292898</x:v>
      </x:c>
      <x:c r="K12" s="7" t="n">
        <x:v>3.9266775264921345</x:v>
      </x:c>
      <x:c r="L12" s="7" t="n">
        <x:v>-2.6624597974866546</x:v>
      </x:c>
      <x:c r="M12" s="8" t="n">
        <x:v>0.8385801122294091</x:v>
      </x:c>
      <x:c r="N12" s="8" t="n">
        <x:v>0.9270380045897725</x:v>
      </x:c>
      <x:c r="O12" s="7" t="n">
        <x:v>1.2629472981207073</x:v>
      </x:c>
      <x:c r="P12" s="7" t="n">
        <x:v>120.59730374994979</x:v>
      </x:c>
      <x:c r="Q12" s="7" t="n">
        <x:v>119.33435645182908</x:v>
      </x:c>
      <x:c r="R12" s="9" t="str">
        <x:v>p01024</x:v>
      </x:c>
      <x:c r="S12" s="8" t="n">
        <x:v>0.7272727272727273</x:v>
      </x:c>
      <x:c r="T12" s="10" t="n">
        <x:v>22</x:v>
      </x:c>
      <x:c r="U12" s="10" t="n">
        <x:v>410</x:v>
      </x:c>
      <x:c r="V12" s="7" t="n">
        <x:v>15.899088322963365</x:v>
      </x:c>
      <x:c r="W12" s="1" t="str">
        <x:v>peer</x:v>
      </x:c>
    </x:row>
    <x:row r="13" ht="25" customHeight="1">
      <x:c r="A13" s="1" t="str">
        <x:v>组员 low80 + HistGB</x:v>
      </x:c>
      <x:c r="B13" s="1" t="str">
        <x:v>r01_f02</x:v>
      </x:c>
      <x:c r="C13" s="7" t="n">
        <x:v>14.28338148443068</x:v>
      </x:c>
      <x:c r="D13" s="7" t="n">
        <x:v>9.905117077514923</x:v>
      </x:c>
      <x:c r="E13" s="7" t="n">
        <x:v>12.663433388291622</x:v>
      </x:c>
      <x:c r="F13" s="7" t="n">
        <x:v>10.712837980510715</x:v>
      </x:c>
      <x:c r="G13" s="7" t="n">
        <x:v>13.104455440705978</x:v>
      </x:c>
      <x:c r="H13" s="7" t="n">
        <x:v>60.66922537145392</x:v>
      </x:c>
      <x:c r="I13" s="7" t="n">
        <x:v>7.932056665825221</x:v>
      </x:c>
      <x:c r="J13" s="7" t="n">
        <x:v>6.171298772738837</x:v>
      </x:c>
      <x:c r="K13" s="7" t="n">
        <x:v>7.041696964093912</x:v>
      </x:c>
      <x:c r="L13" s="7" t="n">
        <x:v>-2.7831608988621657</x:v>
      </x:c>
      <x:c r="M13" s="8" t="n">
        <x:v>0.7040483069204383</x:v>
      </x:c>
      <x:c r="N13" s="8" t="n">
        <x:v>0.9221144462763874</x:v>
      </x:c>
      <x:c r="O13" s="7" t="n">
        <x:v>8.114482043116368</x:v>
      </x:c>
      <x:c r="P13" s="7" t="n">
        <x:v>128.233847154479</x:v>
      </x:c>
      <x:c r="Q13" s="7" t="n">
        <x:v>120.11936511136264</x:v>
      </x:c>
      <x:c r="R13" s="9" t="str">
        <x:v>p01879</x:v>
      </x:c>
      <x:c r="S13" s="8" t="n">
        <x:v>0.68</x:v>
      </x:c>
      <x:c r="T13" s="10" t="n">
        <x:v>25</x:v>
      </x:c>
      <x:c r="U13" s="10" t="n">
        <x:v>410</x:v>
      </x:c>
      <x:c r="V13" s="7" t="n">
        <x:v>15.42095297101729</x:v>
      </x:c>
      <x:c r="W13" s="1" t="str">
        <x:v>peer</x:v>
      </x:c>
    </x:row>
    <x:row r="14" ht="25" customHeight="1">
      <x:c r="A14" s="1" t="str">
        <x:v>组员 low80 + HistGB</x:v>
      </x:c>
      <x:c r="B14" s="1" t="str">
        <x:v>r01_f03</x:v>
      </x:c>
      <x:c r="C14" s="7" t="n">
        <x:v>22.754060437565734</x:v>
      </x:c>
      <x:c r="D14" s="7" t="n">
        <x:v>10.247221563528651</x:v>
      </x:c>
      <x:c r="E14" s="7" t="n">
        <x:v>12.809811104224277</x:v>
      </x:c>
      <x:c r="F14" s="7" t="n">
        <x:v>11.223232657003825</x:v>
      </x:c>
      <x:c r="G14" s="7" t="n">
        <x:v>20</x:v>
      </x:c>
      <x:c r="H14" s="7" t="n">
        <x:v>77.03432576232248</x:v>
      </x:c>
      <x:c r="I14" s="7" t="n">
        <x:v>7.364764948871104</x:v>
      </x:c>
      <x:c r="J14" s="7" t="n">
        <x:v>5.3434249559896845</x:v>
      </x:c>
      <x:c r="K14" s="7" t="n">
        <x:v>6.822168435062809</x:v>
      </x:c>
      <x:c r="L14" s="7" t="n">
        <x:v>-2.3908986102576564</x:v>
      </x:c>
      <x:c r="M14" s="8" t="n">
        <x:v>0.8250580062509391</x:v>
      </x:c>
      <x:c r="N14" s="8" t="n">
        <x:v>0.9269937034741426</x:v>
      </x:c>
      <x:c r="O14" s="7" t="n">
        <x:v>0</x:v>
      </x:c>
      <x:c r="P14" s="7" t="n">
        <x:v>115.76481925917324</x:v>
      </x:c>
      <x:c r="Q14" s="7" t="n">
        <x:v>115.76481925917324</x:v>
      </x:c>
      <x:c r="R14" s="9" t="str">
        <x:v>p01969</x:v>
      </x:c>
      <x:c r="S14" s="8" t="n">
        <x:v>0.5263157894736842</x:v>
      </x:c>
      <x:c r="T14" s="10" t="n">
        <x:v>19</x:v>
      </x:c>
      <x:c r="U14" s="10" t="n">
        <x:v>410</x:v>
      </x:c>
      <x:c r="V14" s="7" t="n">
        <x:v>15.8787915748967</x:v>
      </x:c>
      <x:c r="W14" s="1" t="str">
        <x:v>peer</x:v>
      </x:c>
    </x:row>
    <x:row r="15" ht="25" customHeight="1">
      <x:c r="A15" s="1" t="str">
        <x:v>组员 low80 + HistGB</x:v>
      </x:c>
      <x:c r="B15" s="1" t="str">
        <x:v>r01_f04</x:v>
      </x:c>
      <x:c r="C15" s="7" t="n">
        <x:v>28.862787262909148</x:v>
      </x:c>
      <x:c r="D15" s="7" t="n">
        <x:v>11.835583273516223</x:v>
      </x:c>
      <x:c r="E15" s="7" t="n">
        <x:v>13.091426349952586</x:v>
      </x:c>
      <x:c r="F15" s="7" t="n">
        <x:v>11.417814871381669</x:v>
      </x:c>
      <x:c r="G15" s="7" t="n">
        <x:v>20</x:v>
      </x:c>
      <x:c r="H15" s="7" t="n">
        <x:v>85.20761175775962</x:v>
      </x:c>
      <x:c r="I15" s="7" t="n">
        <x:v>4.219857895825535</x:v>
      </x:c>
      <x:c r="J15" s="7" t="n">
        <x:v>4.951751590868444</x:v>
      </x:c>
      <x:c r="K15" s="7" t="n">
        <x:v>3.2027528861425614</x:v>
      </x:c>
      <x:c r="L15" s="7" t="n">
        <x:v>-1.8254775578161226</x:v>
      </x:c>
      <x:c r="M15" s="8" t="n">
        <x:v>0.9123255323272735</x:v>
      </x:c>
      <x:c r="N15" s="8" t="n">
        <x:v>0.9363808783317529</x:v>
      </x:c>
      <x:c r="O15" s="7" t="n">
        <x:v>0</x:v>
      </x:c>
      <x:c r="P15" s="7" t="n">
        <x:v>118.06331726303324</x:v>
      </x:c>
      <x:c r="Q15" s="7" t="n">
        <x:v>118.06331726303324</x:v>
      </x:c>
      <x:c r="R15" s="9" t="str">
        <x:v>p01631</x:v>
      </x:c>
      <x:c r="S15" s="8" t="n">
        <x:v>0.7647058823529411</x:v>
      </x:c>
      <x:c r="T15" s="10" t="n">
        <x:v>17</x:v>
      </x:c>
      <x:c r="U15" s="10" t="n">
        <x:v>409</x:v>
      </x:c>
      <x:c r="V15" s="7" t="n">
        <x:v>15.783154952522695</x:v>
      </x:c>
      <x:c r="W15" s="1" t="str">
        <x:v>peer</x:v>
      </x:c>
    </x:row>
    <x:row r="16" ht="25" customHeight="1">
      <x:c r="A16" s="1" t="str">
        <x:v>组员 low80 + HistGB</x:v>
      </x:c>
      <x:c r="B16" s="1" t="str">
        <x:v>r01_f05</x:v>
      </x:c>
      <x:c r="C16" s="7" t="n">
        <x:v>17.00054693268393</x:v>
      </x:c>
      <x:c r="D16" s="7" t="n">
        <x:v>10.617303456233026</x:v>
      </x:c>
      <x:c r="E16" s="7" t="n">
        <x:v>12.301019507413573</x:v>
      </x:c>
      <x:c r="F16" s="7" t="n">
        <x:v>11.12107386414341</x:v>
      </x:c>
      <x:c r="G16" s="7" t="n">
        <x:v>20</x:v>
      </x:c>
      <x:c r="H16" s="7" t="n">
        <x:v>71.03994376047393</x:v>
      </x:c>
      <x:c r="I16" s="7" t="n">
        <x:v>6.541893749421</x:v>
      </x:c>
      <x:c r="J16" s="7" t="n">
        <x:v>5.527657165598224</x:v>
      </x:c>
      <x:c r="K16" s="7" t="n">
        <x:v>5.890561084410185</x:v>
      </x:c>
      <x:c r="L16" s="7" t="n">
        <x:v>-2.3398632523078757</x:v>
      </x:c>
      <x:c r="M16" s="8" t="n">
        <x:v>0.742864956181199</x:v>
      </x:c>
      <x:c r="N16" s="8" t="n">
        <x:v>0.9100339835804524</x:v>
      </x:c>
      <x:c r="O16" s="7" t="n">
        <x:v>0</x:v>
      </x:c>
      <x:c r="P16" s="7" t="n">
        <x:v>117.58323827682761</x:v>
      </x:c>
      <x:c r="Q16" s="7" t="n">
        <x:v>117.58323827682761</x:v>
      </x:c>
      <x:c r="R16" s="9" t="str">
        <x:v>p00256</x:v>
      </x:c>
      <x:c r="S16" s="8" t="n">
        <x:v>0.75</x:v>
      </x:c>
      <x:c r="T16" s="10" t="n">
        <x:v>20</x:v>
      </x:c>
      <x:c r="U16" s="10" t="n">
        <x:v>409</x:v>
      </x:c>
      <x:c r="V16" s="7" t="n">
        <x:v>15.848067604593389</x:v>
      </x:c>
      <x:c r="W16" s="1" t="str">
        <x:v>peer</x:v>
      </x:c>
    </x:row>
    <x:row r="17" ht="25" customHeight="1">
      <x:c r="A17" s="1" t="str">
        <x:v>组员 low80 + HistGB</x:v>
      </x:c>
      <x:c r="B17" s="1" t="str">
        <x:v>r02_f01</x:v>
      </x:c>
      <x:c r="C17" s="7" t="n">
        <x:v>16.20509755412428</x:v>
      </x:c>
      <x:c r="D17" s="7" t="n">
        <x:v>10.773852860102602</x:v>
      </x:c>
      <x:c r="E17" s="7" t="n">
        <x:v>12.311004224306943</x:v>
      </x:c>
      <x:c r="F17" s="7" t="n">
        <x:v>11.008104295129916</x:v>
      </x:c>
      <x:c r="G17" s="7" t="n">
        <x:v>15.820876790579712</x:v>
      </x:c>
      <x:c r="H17" s="7" t="n">
        <x:v>66.11893572424346</x:v>
      </x:c>
      <x:c r="I17" s="7" t="n">
        <x:v>6.177273855849458</x:v>
      </x:c>
      <x:c r="J17" s="7" t="n">
        <x:v>5.710707707770503</x:v>
      </x:c>
      <x:c r="K17" s="7" t="n">
        <x:v>4.44559563974721</x:v>
      </x:c>
      <x:c r="L17" s="7" t="n">
        <x:v>-3.0443086336842744</x:v>
      </x:c>
      <x:c r="M17" s="8" t="n">
        <x:v>0.7315013936303468</x:v>
      </x:c>
      <x:c r="N17" s="8" t="n">
        <x:v>0.9103668074768981</x:v>
      </x:c>
      <x:c r="O17" s="7" t="n">
        <x:v>4.159852278477047</x:v>
      </x:c>
      <x:c r="P17" s="7" t="n">
        <x:v>124.58624549600063</x:v>
      </x:c>
      <x:c r="Q17" s="7" t="n">
        <x:v>120.42639321752358</x:v>
      </x:c>
      <x:c r="R17" s="9" t="str">
        <x:v>p01838</x:v>
      </x:c>
      <x:c r="S17" s="8" t="n">
        <x:v>0.6666666666666666</x:v>
      </x:c>
      <x:c r="T17" s="10" t="n">
        <x:v>18</x:v>
      </x:c>
      <x:c r="U17" s="10" t="n">
        <x:v>410</x:v>
      </x:c>
      <x:c r="V17" s="7" t="n">
        <x:v>15.747922965383665</x:v>
      </x:c>
      <x:c r="W17" s="1" t="str">
        <x:v>peer</x:v>
      </x:c>
    </x:row>
    <x:row r="18" ht="25" customHeight="1">
      <x:c r="A18" s="1" t="str">
        <x:v>组员 low80 + HistGB</x:v>
      </x:c>
      <x:c r="B18" s="1" t="str">
        <x:v>r02_f02</x:v>
      </x:c>
      <x:c r="C18" s="7" t="n">
        <x:v>26.76825748214155</x:v>
      </x:c>
      <x:c r="D18" s="7" t="n">
        <x:v>11.176321987481206</x:v>
      </x:c>
      <x:c r="E18" s="7" t="n">
        <x:v>12.744831614388834</x:v>
      </x:c>
      <x:c r="F18" s="7" t="n">
        <x:v>11.190118715967033</x:v>
      </x:c>
      <x:c r="G18" s="7" t="n">
        <x:v>20</x:v>
      </x:c>
      <x:c r="H18" s="7" t="n">
        <x:v>81.87952979997863</x:v>
      </x:c>
      <x:c r="I18" s="7" t="n">
        <x:v>5.430507721863731</x:v>
      </x:c>
      <x:c r="J18" s="7" t="n">
        <x:v>5.404241851009212</x:v>
      </x:c>
      <x:c r="K18" s="7" t="n">
        <x:v>3.7183426418714824</x:v>
      </x:c>
      <x:c r="L18" s="7" t="n">
        <x:v>-2.754072754888967</x:v>
      </x:c>
      <x:c r="M18" s="8" t="n">
        <x:v>0.8824036783163078</x:v>
      </x:c>
      <x:c r="N18" s="8" t="n">
        <x:v>0.9248277204796278</x:v>
      </x:c>
      <x:c r="O18" s="7" t="n">
        <x:v>0</x:v>
      </x:c>
      <x:c r="P18" s="7" t="n">
        <x:v>118.06331726303324</x:v>
      </x:c>
      <x:c r="Q18" s="7" t="n">
        <x:v>118.06331726303324</x:v>
      </x:c>
      <x:c r="R18" s="9" t="str">
        <x:v>p01631</x:v>
      </x:c>
      <x:c r="S18" s="8" t="n">
        <x:v>0.6</x:v>
      </x:c>
      <x:c r="T18" s="10" t="n">
        <x:v>15</x:v>
      </x:c>
      <x:c r="U18" s="10" t="n">
        <x:v>410</x:v>
      </x:c>
      <x:c r="V18" s="7" t="n">
        <x:v>15.872963846940493</x:v>
      </x:c>
      <x:c r="W18" s="1" t="str">
        <x:v>peer</x:v>
      </x:c>
    </x:row>
    <x:row r="19" ht="25" customHeight="1">
      <x:c r="A19" s="1" t="str">
        <x:v>组员 low80 + HistGB</x:v>
      </x:c>
      <x:c r="B19" s="1" t="str">
        <x:v>r02_f03</x:v>
      </x:c>
      <x:c r="C19" s="7" t="n">
        <x:v>10.717604768051991</x:v>
      </x:c>
      <x:c r="D19" s="7" t="n">
        <x:v>10.509117443072174</x:v>
      </x:c>
      <x:c r="E19" s="7" t="n">
        <x:v>13.023609459672308</x:v>
      </x:c>
      <x:c r="F19" s="7" t="n">
        <x:v>11.014143818996214</x:v>
      </x:c>
      <x:c r="G19" s="7" t="n">
        <x:v>18.505668449197703</x:v>
      </x:c>
      <x:c r="H19" s="7" t="n">
        <x:v>63.77014393899039</x:v>
      </x:c>
      <x:c r="I19" s="7" t="n">
        <x:v>6.641513087011252</x:v>
      </x:c>
      <x:c r="J19" s="7" t="n">
        <x:v>5.624351591874591</x:v>
      </x:c>
      <x:c r="K19" s="7" t="n">
        <x:v>5.397675824237552</x:v>
      </x:c>
      <x:c r="L19" s="7" t="n">
        <x:v>-2.02439765150491</x:v>
      </x:c>
      <x:c r="M19" s="8" t="n">
        <x:v>0.6531086395435999</x:v>
      </x:c>
      <x:c r="N19" s="8" t="n">
        <x:v>0.9341203153224102</x:v>
      </x:c>
      <x:c r="O19" s="7" t="n">
        <x:v>1.25500012628072</x:v>
      </x:c>
      <x:c r="P19" s="7" t="n">
        <x:v>121.84364757331787</x:v>
      </x:c>
      <x:c r="Q19" s="7" t="n">
        <x:v>120.58864744703715</x:v>
      </x:c>
      <x:c r="R19" s="9" t="str">
        <x:v>p00985</x:v>
      </x:c>
      <x:c r="S19" s="8" t="n">
        <x:v>0.7083333333333334</x:v>
      </x:c>
      <x:c r="T19" s="10" t="n">
        <x:v>24</x:v>
      </x:c>
      <x:c r="U19" s="10" t="n">
        <x:v>410</x:v>
      </x:c>
      <x:c r="V19" s="7" t="n">
        <x:v>15.5418094653647</x:v>
      </x:c>
      <x:c r="W19" s="1" t="str">
        <x:v>peer</x:v>
      </x:c>
    </x:row>
    <x:row r="20" ht="25" customHeight="1">
      <x:c r="A20" s="1" t="str">
        <x:v>组员 low80 + HistGB</x:v>
      </x:c>
      <x:c r="B20" s="1" t="str">
        <x:v>r02_f04</x:v>
      </x:c>
      <x:c r="C20" s="7" t="n">
        <x:v>30.85869798506016</x:v>
      </x:c>
      <x:c r="D20" s="7" t="n">
        <x:v>11.379364750180196</x:v>
      </x:c>
      <x:c r="E20" s="7" t="n">
        <x:v>12.57162108721271</x:v>
      </x:c>
      <x:c r="F20" s="7" t="n">
        <x:v>11.458512096460819</x:v>
      </x:c>
      <x:c r="G20" s="7" t="n">
        <x:v>20</x:v>
      </x:c>
      <x:c r="H20" s="7" t="n">
        <x:v>86.26819591891389</x:v>
      </x:c>
      <x:c r="I20" s="7" t="n">
        <x:v>5.0979279168421785</x:v>
      </x:c>
      <x:c r="J20" s="7" t="n">
        <x:v>4.952043701228782</x:v>
      </x:c>
      <x:c r="K20" s="7" t="n">
        <x:v>4.235312121575619</x:v>
      </x:c>
      <x:c r="L20" s="7" t="n">
        <x:v>-1.9062439859780118</x:v>
      </x:c>
      <x:c r="M20" s="8" t="n">
        <x:v>0.9408385426437166</x:v>
      </x:c>
      <x:c r="N20" s="8" t="n">
        <x:v>0.9190540362404237</x:v>
      </x:c>
      <x:c r="O20" s="7" t="n">
        <x:v>0</x:v>
      </x:c>
      <x:c r="P20" s="7" t="n">
        <x:v>117.58323827682761</x:v>
      </x:c>
      <x:c r="Q20" s="7" t="n">
        <x:v>117.58323827682761</x:v>
      </x:c>
      <x:c r="R20" s="9" t="str">
        <x:v>p00256</x:v>
      </x:c>
      <x:c r="S20" s="8" t="n">
        <x:v>0.7</x:v>
      </x:c>
      <x:c r="T20" s="10" t="n">
        <x:v>20</x:v>
      </x:c>
      <x:c r="U20" s="10" t="n">
        <x:v>409</x:v>
      </x:c>
      <x:c r="V20" s="7" t="n">
        <x:v>16.022376525986868</x:v>
      </x:c>
      <x:c r="W20" s="1" t="str">
        <x:v>peer</x:v>
      </x:c>
    </x:row>
    <x:row r="21" ht="25" customHeight="1">
      <x:c r="A21" s="1" t="str">
        <x:v>组员 low80 + HistGB</x:v>
      </x:c>
      <x:c r="B21" s="1" t="str">
        <x:v>r02_f05</x:v>
      </x:c>
      <x:c r="C21" s="7" t="n">
        <x:v>21.319116106435388</x:v>
      </x:c>
      <x:c r="D21" s="7" t="n">
        <x:v>10.284994618427795</x:v>
      </x:c>
      <x:c r="E21" s="7" t="n">
        <x:v>12.62480261968152</x:v>
      </x:c>
      <x:c r="F21" s="7" t="n">
        <x:v>10.927189716870792</x:v>
      </x:c>
      <x:c r="G21" s="7" t="n">
        <x:v>20</x:v>
      </x:c>
      <x:c r="H21" s="7" t="n">
        <x:v>75.1561030614155</x:v>
      </x:c>
      <x:c r="I21" s="7" t="n">
        <x:v>7.1707364136530725</x:v>
      </x:c>
      <x:c r="J21" s="7" t="n">
        <x:v>5.830037281717041</x:v>
      </x:c>
      <x:c r="K21" s="7" t="n">
        <x:v>6.530129046889874</x:v>
      </x:c>
      <x:c r="L21" s="7" t="n">
        <x:v>-2.5373846076820694</x:v>
      </x:c>
      <x:c r="M21" s="8" t="n">
        <x:v>0.8045588015205055</x:v>
      </x:c>
      <x:c r="N21" s="8" t="n">
        <x:v>0.920826753989384</x:v>
      </x:c>
      <x:c r="O21" s="7" t="n">
        <x:v>0</x:v>
      </x:c>
      <x:c r="P21" s="7" t="n">
        <x:v>115.76481925917324</x:v>
      </x:c>
      <x:c r="Q21" s="7" t="n">
        <x:v>115.76481925917324</x:v>
      </x:c>
      <x:c r="R21" s="9" t="str">
        <x:v>p01969</x:v>
      </x:c>
      <x:c r="S21" s="8" t="n">
        <x:v>0.7692307692307693</x:v>
      </x:c>
      <x:c r="T21" s="10" t="n">
        <x:v>26</x:v>
      </x:c>
      <x:c r="U21" s="10" t="n">
        <x:v>409</x:v>
      </x:c>
      <x:c r="V21" s="7" t="n">
        <x:v>15.641760603885892</x:v>
      </x:c>
      <x:c r="W21" s="1" t="str">
        <x:v>peer</x:v>
      </x:c>
    </x:row>
    <x:row r="22" ht="25" customHeight="1">
      <x:c r="A22" s="1" t="str">
        <x:v>组员 low60 + HistGB</x:v>
      </x:c>
      <x:c r="B22" s="1" t="str">
        <x:v>r01_f01</x:v>
      </x:c>
      <x:c r="C22" s="7" t="n">
        <x:v>25.108183708802926</x:v>
      </x:c>
      <x:c r="D22" s="7" t="n">
        <x:v>11.044894837989117</x:v>
      </x:c>
      <x:c r="E22" s="7" t="n">
        <x:v>11.61031662538638</x:v>
      </x:c>
      <x:c r="F22" s="7" t="n">
        <x:v>10.283735179800827</x:v>
      </x:c>
      <x:c r="G22" s="7" t="n">
        <x:v>18.52820804477397</x:v>
      </x:c>
      <x:c r="H22" s="7" t="n">
        <x:v>76.57533839675322</x:v>
      </x:c>
      <x:c r="I22" s="7" t="n">
        <x:v>5.693360346097058</x:v>
      </x:c>
      <x:c r="J22" s="7" t="n">
        <x:v>7.291544328962763</x:v>
      </x:c>
      <x:c r="K22" s="7" t="n">
        <x:v>4.889375042527321</x:v>
      </x:c>
      <x:c r="L22" s="7" t="n">
        <x:v>-5.074648510579154</x:v>
      </x:c>
      <x:c r="M22" s="8" t="n">
        <x:v>0.8586883386971846</x:v>
      </x:c>
      <x:c r="N22" s="8" t="n">
        <x:v>0.887010554179546</x:v>
      </x:c>
      <x:c r="O22" s="7" t="n">
        <x:v>1.2629472981207073</x:v>
      </x:c>
      <x:c r="P22" s="7" t="n">
        <x:v>120.59730374994979</x:v>
      </x:c>
      <x:c r="Q22" s="7" t="n">
        <x:v>119.33435645182908</x:v>
      </x:c>
      <x:c r="R22" s="9" t="str">
        <x:v>p01024</x:v>
      </x:c>
      <x:c r="S22" s="8" t="n">
        <x:v>0.6818181818181818</x:v>
      </x:c>
      <x:c r="T22" s="10" t="n">
        <x:v>22</x:v>
      </x:c>
      <x:c r="U22" s="10" t="n">
        <x:v>410</x:v>
      </x:c>
      <x:c r="V22" s="7" t="n">
        <x:v>15.899088322963365</x:v>
      </x:c>
      <x:c r="W22" s="1" t="str">
        <x:v>peer</x:v>
      </x:c>
    </x:row>
    <x:row r="23" ht="25" customHeight="1">
      <x:c r="A23" s="1" t="str">
        <x:v>组员 low60 + HistGB</x:v>
      </x:c>
      <x:c r="B23" s="1" t="str">
        <x:v>r01_f02</x:v>
      </x:c>
      <x:c r="C23" s="7" t="n">
        <x:v>10.433710018892377</x:v>
      </x:c>
      <x:c r="D23" s="7" t="n">
        <x:v>10.004141799723401</x:v>
      </x:c>
      <x:c r="E23" s="7" t="n">
        <x:v>11.617559034278255</x:v>
      </x:c>
      <x:c r="F23" s="7" t="n">
        <x:v>9.84751784893764</x:v>
      </x:c>
      <x:c r="G23" s="7" t="n">
        <x:v>18.131956198075596</x:v>
      </x:c>
      <x:c r="H23" s="7" t="n">
        <x:v>60.03488489990727</x:v>
      </x:c>
      <x:c r="I23" s="7" t="n">
        <x:v>7.700899877135546</x:v>
      </x:c>
      <x:c r="J23" s="7" t="n">
        <x:v>8.068651019922797</x:v>
      </x:c>
      <x:c r="K23" s="7" t="n">
        <x:v>7.272747524579638</x:v>
      </x:c>
      <x:c r="L23" s="7" t="n">
        <x:v>-5.441775534693165</x:v>
      </x:c>
      <x:c r="M23" s="8" t="n">
        <x:v>0.6490530002698911</x:v>
      </x:c>
      <x:c r="N23" s="8" t="n">
        <x:v>0.8872519678092752</x:v>
      </x:c>
      <x:c r="O23" s="7" t="n">
        <x:v>1.5887428417863703</x:v>
      </x:c>
      <x:c r="P23" s="7" t="n">
        <x:v>121.70810795314901</x:v>
      </x:c>
      <x:c r="Q23" s="7" t="n">
        <x:v>120.11936511136264</x:v>
      </x:c>
      <x:c r="R23" s="9" t="str">
        <x:v>p01914</x:v>
      </x:c>
      <x:c r="S23" s="8" t="n">
        <x:v>0.72</x:v>
      </x:c>
      <x:c r="T23" s="10" t="n">
        <x:v>25</x:v>
      </x:c>
      <x:c r="U23" s="10" t="n">
        <x:v>410</x:v>
      </x:c>
      <x:c r="V23" s="7" t="n">
        <x:v>15.42095297101729</x:v>
      </x:c>
      <x:c r="W23" s="1" t="str">
        <x:v>peer</x:v>
      </x:c>
    </x:row>
    <x:row r="24" ht="25" customHeight="1">
      <x:c r="A24" s="1" t="str">
        <x:v>组员 low60 + HistGB</x:v>
      </x:c>
      <x:c r="B24" s="1" t="str">
        <x:v>r01_f03</x:v>
      </x:c>
      <x:c r="C24" s="7" t="n">
        <x:v>24.42178369200749</x:v>
      </x:c>
      <x:c r="D24" s="7" t="n">
        <x:v>10.208728719812127</x:v>
      </x:c>
      <x:c r="E24" s="7" t="n">
        <x:v>11.563174993002281</x:v>
      </x:c>
      <x:c r="F24" s="7" t="n">
        <x:v>10.278776924695196</x:v>
      </x:c>
      <x:c r="G24" s="7" t="n">
        <x:v>20</x:v>
      </x:c>
      <x:c r="H24" s="7" t="n">
        <x:v>76.4724643295171</x:v>
      </x:c>
      <x:c r="I24" s="7" t="n">
        <x:v>7.452406673246561</x:v>
      </x:c>
      <x:c r="J24" s="7" t="n">
        <x:v>7.293408324802309</x:v>
      </x:c>
      <x:c r="K24" s="7" t="n">
        <x:v>7.415306599672083</x:v>
      </x:c>
      <x:c r="L24" s="7" t="n">
        <x:v>-4.831742905830062</x:v>
      </x:c>
      <x:c r="M24" s="8" t="n">
        <x:v>0.8488826241715356</x:v>
      </x:c>
      <x:c r="N24" s="8" t="n">
        <x:v>0.8854391664334094</x:v>
      </x:c>
      <x:c r="O24" s="7" t="n">
        <x:v>0</x:v>
      </x:c>
      <x:c r="P24" s="7" t="n">
        <x:v>115.76481925917324</x:v>
      </x:c>
      <x:c r="Q24" s="7" t="n">
        <x:v>115.76481925917324</x:v>
      </x:c>
      <x:c r="R24" s="9" t="str">
        <x:v>p01969</x:v>
      </x:c>
      <x:c r="S24" s="8" t="n">
        <x:v>0.5789473684210527</x:v>
      </x:c>
      <x:c r="T24" s="10" t="n">
        <x:v>19</x:v>
      </x:c>
      <x:c r="U24" s="10" t="n">
        <x:v>410</x:v>
      </x:c>
      <x:c r="V24" s="7" t="n">
        <x:v>15.8787915748967</x:v>
      </x:c>
      <x:c r="W24" s="1" t="str">
        <x:v>peer</x:v>
      </x:c>
    </x:row>
    <x:row r="25" ht="25" customHeight="1">
      <x:c r="A25" s="1" t="str">
        <x:v>组员 low60 + HistGB</x:v>
      </x:c>
      <x:c r="B25" s="1" t="str">
        <x:v>r01_f04</x:v>
      </x:c>
      <x:c r="C25" s="7" t="n">
        <x:v>28.1516711685186</x:v>
      </x:c>
      <x:c r="D25" s="7" t="n">
        <x:v>11.376717716654372</x:v>
      </x:c>
      <x:c r="E25" s="7" t="n">
        <x:v>11.754680842108503</x:v>
      </x:c>
      <x:c r="F25" s="7" t="n">
        <x:v>10.461316803876297</x:v>
      </x:c>
      <x:c r="G25" s="7" t="n">
        <x:v>20</x:v>
      </x:c>
      <x:c r="H25" s="7" t="n">
        <x:v>81.74438653115777</x:v>
      </x:c>
      <x:c r="I25" s="7" t="n">
        <x:v>5.026654184366243</x:v>
      </x:c>
      <x:c r="J25" s="7" t="n">
        <x:v>6.847583483781707</x:v>
      </x:c>
      <x:c r="K25" s="7" t="n">
        <x:v>4.043872426678711</x:v>
      </x:c>
      <x:c r="L25" s="7" t="n">
        <x:v>-4.420894440714027</x:v>
      </x:c>
      <x:c r="M25" s="8" t="n">
        <x:v>0.9021667309788372</x:v>
      </x:c>
      <x:c r="N25" s="8" t="n">
        <x:v>0.8918226947369501</x:v>
      </x:c>
      <x:c r="O25" s="7" t="n">
        <x:v>0</x:v>
      </x:c>
      <x:c r="P25" s="7" t="n">
        <x:v>118.06331726303324</x:v>
      </x:c>
      <x:c r="Q25" s="7" t="n">
        <x:v>118.06331726303324</x:v>
      </x:c>
      <x:c r="R25" s="9" t="str">
        <x:v>p01631</x:v>
      </x:c>
      <x:c r="S25" s="8" t="n">
        <x:v>0.7058823529411765</x:v>
      </x:c>
      <x:c r="T25" s="10" t="n">
        <x:v>17</x:v>
      </x:c>
      <x:c r="U25" s="10" t="n">
        <x:v>409</x:v>
      </x:c>
      <x:c r="V25" s="7" t="n">
        <x:v>15.783154952522695</x:v>
      </x:c>
      <x:c r="W25" s="1" t="str">
        <x:v>peer</x:v>
      </x:c>
    </x:row>
    <x:row r="26" ht="25" customHeight="1">
      <x:c r="A26" s="1" t="str">
        <x:v>组员 low60 + HistGB</x:v>
      </x:c>
      <x:c r="B26" s="1" t="str">
        <x:v>r01_f05</x:v>
      </x:c>
      <x:c r="C26" s="7" t="n">
        <x:v>23.537830132211944</x:v>
      </x:c>
      <x:c r="D26" s="7" t="n">
        <x:v>10.847122276855542</x:v>
      </x:c>
      <x:c r="E26" s="7" t="n">
        <x:v>11.070244276821237</x:v>
      </x:c>
      <x:c r="F26" s="7" t="n">
        <x:v>10.23144255588294</x:v>
      </x:c>
      <x:c r="G26" s="7" t="n">
        <x:v>20</x:v>
      </x:c>
      <x:c r="H26" s="7" t="n">
        <x:v>75.68663924177166</x:v>
      </x:c>
      <x:c r="I26" s="7" t="n">
        <x:v>6.0675159023912375</x:v>
      </x:c>
      <x:c r="J26" s="7" t="n">
        <x:v>7.386291848679845</x:v>
      </x:c>
      <x:c r="K26" s="7" t="n">
        <x:v>5.582288460512926</x:v>
      </x:c>
      <x:c r="L26" s="7" t="n">
        <x:v>-5.133855144531744</x:v>
      </x:c>
      <x:c r="M26" s="8" t="n">
        <x:v>0.8362547161744563</x:v>
      </x:c>
      <x:c r="N26" s="8" t="n">
        <x:v>0.8690081425607079</x:v>
      </x:c>
      <x:c r="O26" s="7" t="n">
        <x:v>0</x:v>
      </x:c>
      <x:c r="P26" s="7" t="n">
        <x:v>117.58323827682761</x:v>
      </x:c>
      <x:c r="Q26" s="7" t="n">
        <x:v>117.58323827682761</x:v>
      </x:c>
      <x:c r="R26" s="9" t="str">
        <x:v>p00256</x:v>
      </x:c>
      <x:c r="S26" s="8" t="n">
        <x:v>0.75</x:v>
      </x:c>
      <x:c r="T26" s="10" t="n">
        <x:v>20</x:v>
      </x:c>
      <x:c r="U26" s="10" t="n">
        <x:v>409</x:v>
      </x:c>
      <x:c r="V26" s="7" t="n">
        <x:v>15.848067604593389</x:v>
      </x:c>
      <x:c r="W26" s="1" t="str">
        <x:v>peer</x:v>
      </x:c>
    </x:row>
    <x:row r="27" ht="25" customHeight="1">
      <x:c r="A27" s="1" t="str">
        <x:v>组员 low60 + HistGB</x:v>
      </x:c>
      <x:c r="B27" s="1" t="str">
        <x:v>r02_f01</x:v>
      </x:c>
      <x:c r="C27" s="7" t="n">
        <x:v>15.642131221603227</x:v>
      </x:c>
      <x:c r="D27" s="7" t="n">
        <x:v>10.95296239402076</x:v>
      </x:c>
      <x:c r="E27" s="7" t="n">
        <x:v>10.759690360412014</x:v>
      </x:c>
      <x:c r="F27" s="7" t="n">
        <x:v>10.078216495129851</x:v>
      </x:c>
      <x:c r="G27" s="7" t="n">
        <x:v>20</x:v>
      </x:c>
      <x:c r="H27" s="7" t="n">
        <x:v>67.43300047116585</x:v>
      </x:c>
      <x:c r="I27" s="7" t="n">
        <x:v>5.8187396399501425</x:v>
      </x:c>
      <x:c r="J27" s="7" t="n">
        <x:v>7.6906333104121805</x:v>
      </x:c>
      <x:c r="K27" s="7" t="n">
        <x:v>4.902627708925724</x:v>
      </x:c>
      <x:c r="L27" s="7" t="n">
        <x:v>-5.467338296759423</x:v>
      </x:c>
      <x:c r="M27" s="8" t="n">
        <x:v>0.7234590174514747</x:v>
      </x:c>
      <x:c r="N27" s="8" t="n">
        <x:v>0.8586563453470671</x:v>
      </x:c>
      <x:c r="O27" s="7" t="n">
        <x:v>0</x:v>
      </x:c>
      <x:c r="P27" s="7" t="n">
        <x:v>120.42639321752358</x:v>
      </x:c>
      <x:c r="Q27" s="7" t="n">
        <x:v>120.42639321752358</x:v>
      </x:c>
      <x:c r="R27" s="9" t="str">
        <x:v>p01197</x:v>
      </x:c>
      <x:c r="S27" s="8" t="n">
        <x:v>0.6111111111111112</x:v>
      </x:c>
      <x:c r="T27" s="10" t="n">
        <x:v>18</x:v>
      </x:c>
      <x:c r="U27" s="10" t="n">
        <x:v>410</x:v>
      </x:c>
      <x:c r="V27" s="7" t="n">
        <x:v>15.747922965383665</x:v>
      </x:c>
      <x:c r="W27" s="1" t="str">
        <x:v>peer</x:v>
      </x:c>
    </x:row>
    <x:row r="28" ht="25" customHeight="1">
      <x:c r="A28" s="1" t="str">
        <x:v>组员 low60 + HistGB</x:v>
      </x:c>
      <x:c r="B28" s="1" t="str">
        <x:v>r02_f02</x:v>
      </x:c>
      <x:c r="C28" s="7" t="n">
        <x:v>30.14818978012897</x:v>
      </x:c>
      <x:c r="D28" s="7" t="n">
        <x:v>11.746432276468322</x:v>
      </x:c>
      <x:c r="E28" s="7" t="n">
        <x:v>11.622627076778452</x:v>
      </x:c>
      <x:c r="F28" s="7" t="n">
        <x:v>10.180699326189776</x:v>
      </x:c>
      <x:c r="G28" s="7" t="n">
        <x:v>20</x:v>
      </x:c>
      <x:c r="H28" s="7" t="n">
        <x:v>83.69794845956552</x:v>
      </x:c>
      <x:c r="I28" s="7" t="n">
        <x:v>4.396548810199074</x:v>
      </x:c>
      <x:c r="J28" s="7" t="n">
        <x:v>7.513883173638054</x:v>
      </x:c>
      <x:c r="K28" s="7" t="n">
        <x:v>3.4531088654677404</x:v>
      </x:c>
      <x:c r="L28" s="7" t="n">
        <x:v>-5.65557259233678</x:v>
      </x:c>
      <x:c r="M28" s="8" t="n">
        <x:v>0.9306884254304139</x:v>
      </x:c>
      <x:c r="N28" s="8" t="n">
        <x:v>0.8874209025592817</x:v>
      </x:c>
      <x:c r="O28" s="7" t="n">
        <x:v>0</x:v>
      </x:c>
      <x:c r="P28" s="7" t="n">
        <x:v>118.06331726303324</x:v>
      </x:c>
      <x:c r="Q28" s="7" t="n">
        <x:v>118.06331726303324</x:v>
      </x:c>
      <x:c r="R28" s="9" t="str">
        <x:v>p01631</x:v>
      </x:c>
      <x:c r="S28" s="8" t="n">
        <x:v>0.6666666666666666</x:v>
      </x:c>
      <x:c r="T28" s="10" t="n">
        <x:v>15</x:v>
      </x:c>
      <x:c r="U28" s="10" t="n">
        <x:v>410</x:v>
      </x:c>
      <x:c r="V28" s="7" t="n">
        <x:v>15.872963846940493</x:v>
      </x:c>
      <x:c r="W28" s="1" t="str">
        <x:v>peer</x:v>
      </x:c>
    </x:row>
    <x:row r="29" ht="25" customHeight="1">
      <x:c r="A29" s="1" t="str">
        <x:v>组员 low60 + HistGB</x:v>
      </x:c>
      <x:c r="B29" s="1" t="str">
        <x:v>r02_f03</x:v>
      </x:c>
      <x:c r="C29" s="7" t="n">
        <x:v>12.144298668182303</x:v>
      </x:c>
      <x:c r="D29" s="7" t="n">
        <x:v>10.218173974588838</x:v>
      </x:c>
      <x:c r="E29" s="7" t="n">
        <x:v>11.699033243792783</x:v>
      </x:c>
      <x:c r="F29" s="7" t="n">
        <x:v>10.014922700385458</x:v>
      </x:c>
      <x:c r="G29" s="7" t="n">
        <x:v>18.505668449197703</x:v>
      </x:c>
      <x:c r="H29" s="7" t="n">
        <x:v>62.58209703614709</x:v>
      </x:c>
      <x:c r="I29" s="7" t="n">
        <x:v>7.273141871363852</x:v>
      </x:c>
      <x:c r="J29" s="7" t="n">
        <x:v>7.7361677047933695</x:v>
      </x:c>
      <x:c r="K29" s="7" t="n">
        <x:v>6.350018960090064</x:v>
      </x:c>
      <x:c r="L29" s="7" t="n">
        <x:v>-4.917592930328622</x:v>
      </x:c>
      <x:c r="M29" s="8" t="n">
        <x:v>0.6734899809740329</x:v>
      </x:c>
      <x:c r="N29" s="8" t="n">
        <x:v>0.8899677747930927</x:v>
      </x:c>
      <x:c r="O29" s="7" t="n">
        <x:v>1.25500012628072</x:v>
      </x:c>
      <x:c r="P29" s="7" t="n">
        <x:v>121.84364757331787</x:v>
      </x:c>
      <x:c r="Q29" s="7" t="n">
        <x:v>120.58864744703715</x:v>
      </x:c>
      <x:c r="R29" s="9" t="str">
        <x:v>p00985</x:v>
      </x:c>
      <x:c r="S29" s="8" t="n">
        <x:v>0.7083333333333334</x:v>
      </x:c>
      <x:c r="T29" s="10" t="n">
        <x:v>24</x:v>
      </x:c>
      <x:c r="U29" s="10" t="n">
        <x:v>410</x:v>
      </x:c>
      <x:c r="V29" s="7" t="n">
        <x:v>15.5418094653647</x:v>
      </x:c>
      <x:c r="W29" s="1" t="str">
        <x:v>peer</x:v>
      </x:c>
    </x:row>
    <x:row r="30" ht="25" customHeight="1">
      <x:c r="A30" s="1" t="str">
        <x:v>组员 low60 + HistGB</x:v>
      </x:c>
      <x:c r="B30" s="1" t="str">
        <x:v>r02_f04</x:v>
      </x:c>
      <x:c r="C30" s="7" t="n">
        <x:v>28.544591326854835</x:v>
      </x:c>
      <x:c r="D30" s="7" t="n">
        <x:v>10.869347596169716</x:v>
      </x:c>
      <x:c r="E30" s="7" t="n">
        <x:v>11.807356254662306</x:v>
      </x:c>
      <x:c r="F30" s="7" t="n">
        <x:v>10.743066069134036</x:v>
      </x:c>
      <x:c r="G30" s="7" t="n">
        <x:v>20</x:v>
      </x:c>
      <x:c r="H30" s="7" t="n">
        <x:v>81.96436124682089</x:v>
      </x:c>
      <x:c r="I30" s="7" t="n">
        <x:v>6.088945774028237</x:v>
      </x:c>
      <x:c r="J30" s="7" t="n">
        <x:v>6.348857751377646</x:v>
      </x:c>
      <x:c r="K30" s="7" t="n">
        <x:v>5.336559351131312</x:v>
      </x:c>
      <x:c r="L30" s="7" t="n">
        <x:v>-3.9746903785889236</x:v>
      </x:c>
      <x:c r="M30" s="8" t="n">
        <x:v>0.9077798760979262</x:v>
      </x:c>
      <x:c r="N30" s="8" t="n">
        <x:v>0.8935785418220769</x:v>
      </x:c>
      <x:c r="O30" s="7" t="n">
        <x:v>0</x:v>
      </x:c>
      <x:c r="P30" s="7" t="n">
        <x:v>117.58323827682761</x:v>
      </x:c>
      <x:c r="Q30" s="7" t="n">
        <x:v>117.58323827682761</x:v>
      </x:c>
      <x:c r="R30" s="9" t="str">
        <x:v>p00256</x:v>
      </x:c>
      <x:c r="S30" s="8" t="n">
        <x:v>0.7</x:v>
      </x:c>
      <x:c r="T30" s="10" t="n">
        <x:v>20</x:v>
      </x:c>
      <x:c r="U30" s="10" t="n">
        <x:v>409</x:v>
      </x:c>
      <x:c r="V30" s="7" t="n">
        <x:v>16.022376525986868</x:v>
      </x:c>
      <x:c r="W30" s="1" t="str">
        <x:v>peer</x:v>
      </x:c>
    </x:row>
    <x:row r="31" ht="25" customHeight="1">
      <x:c r="A31" s="1" t="str">
        <x:v>组员 low60 + HistGB</x:v>
      </x:c>
      <x:c r="B31" s="1" t="str">
        <x:v>r02_f05</x:v>
      </x:c>
      <x:c r="C31" s="7" t="n">
        <x:v>23.853426807792104</x:v>
      </x:c>
      <x:c r="D31" s="7" t="n">
        <x:v>10.382301264014412</x:v>
      </x:c>
      <x:c r="E31" s="7" t="n">
        <x:v>11.497249910701512</x:v>
      </x:c>
      <x:c r="F31" s="7" t="n">
        <x:v>10.218644336431204</x:v>
      </x:c>
      <x:c r="G31" s="7" t="n">
        <x:v>20</x:v>
      </x:c>
      <x:c r="H31" s="7" t="n">
        <x:v>75.95162231893923</x:v>
      </x:c>
      <x:c r="I31" s="7" t="n">
        <x:v>6.95692952192615</x:v>
      </x:c>
      <x:c r="J31" s="7" t="n">
        <x:v>7.3188593505443995</x:v>
      </x:c>
      <x:c r="K31" s="7" t="n">
        <x:v>6.787455015271369</x:v>
      </x:c>
      <x:c r="L31" s="7" t="n">
        <x:v>-4.673836573132774</x:v>
      </x:c>
      <x:c r="M31" s="8" t="n">
        <x:v>0.8407632401113158</x:v>
      </x:c>
      <x:c r="N31" s="8" t="n">
        <x:v>0.8832416636900504</x:v>
      </x:c>
      <x:c r="O31" s="7" t="n">
        <x:v>0</x:v>
      </x:c>
      <x:c r="P31" s="7" t="n">
        <x:v>115.76481925917324</x:v>
      </x:c>
      <x:c r="Q31" s="7" t="n">
        <x:v>115.76481925917324</x:v>
      </x:c>
      <x:c r="R31" s="9" t="str">
        <x:v>p01969</x:v>
      </x:c>
      <x:c r="S31" s="8" t="n">
        <x:v>0.7692307692307693</x:v>
      </x:c>
      <x:c r="T31" s="10" t="n">
        <x:v>26</x:v>
      </x:c>
      <x:c r="U31" s="10" t="n">
        <x:v>409</x:v>
      </x:c>
      <x:c r="V31" s="7" t="n">
        <x:v>15.641760603885892</x:v>
      </x:c>
      <x:c r="W31" s="1" t="str">
        <x:v>peer</x:v>
      </x:c>
    </x:row>
    <x:row r="32" ht="25" customHeight="1">
      <x:c r="A32" s="1" t="str">
        <x:v>组员 low90_w20x3 + HistGB</x:v>
      </x:c>
      <x:c r="B32" s="1" t="str">
        <x:v>r01_f01</x:v>
      </x:c>
      <x:c r="C32" s="7" t="n">
        <x:v>20.17999085580331</x:v>
      </x:c>
      <x:c r="D32" s="7" t="n">
        <x:v>11.228729309820173</x:v>
      </x:c>
      <x:c r="E32" s="7" t="n">
        <x:v>12.816897840898708</x:v>
      </x:c>
      <x:c r="F32" s="7" t="n">
        <x:v>11.501366381780793</x:v>
      </x:c>
      <x:c r="G32" s="7" t="n">
        <x:v>18.52820804477397</x:v>
      </x:c>
      <x:c r="H32" s="7" t="n">
        <x:v>74.25519243307696</x:v>
      </x:c>
      <x:c r="I32" s="7" t="n">
        <x:v>5.339853169363855</x:v>
      </x:c>
      <x:c r="J32" s="7" t="n">
        <x:v>4.836389265354702</x:v>
      </x:c>
      <x:c r="K32" s="7" t="n">
        <x:v>4.873333862146716</x:v>
      </x:c>
      <x:c r="L32" s="7" t="n">
        <x:v>-1.7744985809662395</x:v>
      </x:c>
      <x:c r="M32" s="8" t="n">
        <x:v>0.788285583654333</x:v>
      </x:c>
      <x:c r="N32" s="8" t="n">
        <x:v>0.927229928029957</x:v>
      </x:c>
      <x:c r="O32" s="7" t="n">
        <x:v>1.2629472981207073</x:v>
      </x:c>
      <x:c r="P32" s="7" t="n">
        <x:v>120.59730374994979</x:v>
      </x:c>
      <x:c r="Q32" s="7" t="n">
        <x:v>119.33435645182908</x:v>
      </x:c>
      <x:c r="R32" s="9" t="str">
        <x:v>p01024</x:v>
      </x:c>
      <x:c r="S32" s="8" t="n">
        <x:v>0.7272727272727273</x:v>
      </x:c>
      <x:c r="T32" s="10" t="n">
        <x:v>22</x:v>
      </x:c>
      <x:c r="U32" s="10" t="n">
        <x:v>410</x:v>
      </x:c>
      <x:c r="V32" s="7" t="n">
        <x:v>15.899088322963365</x:v>
      </x:c>
      <x:c r="W32" s="1" t="str">
        <x:v>peer</x:v>
      </x:c>
    </x:row>
    <x:row r="33" ht="25" customHeight="1">
      <x:c r="A33" s="1" t="str">
        <x:v>组员 low90_w20x3 + HistGB</x:v>
      </x:c>
      <x:c r="B33" s="1" t="str">
        <x:v>r01_f02</x:v>
      </x:c>
      <x:c r="C33" s="7" t="n">
        <x:v>11.02183303655671</x:v>
      </x:c>
      <x:c r="D33" s="7" t="n">
        <x:v>10.028869728969678</x:v>
      </x:c>
      <x:c r="E33" s="7" t="n">
        <x:v>12.899179018118177</x:v>
      </x:c>
      <x:c r="F33" s="7" t="n">
        <x:v>10.965446401298715</x:v>
      </x:c>
      <x:c r="G33" s="7" t="n">
        <x:v>20</x:v>
      </x:c>
      <x:c r="H33" s="7" t="n">
        <x:v>64.91532818494328</x:v>
      </x:c>
      <x:c r="I33" s="7" t="n">
        <x:v>7.643888912119184</x:v>
      </x:c>
      <x:c r="J33" s="7" t="n">
        <x:v>5.6738831259302245</x:v>
      </x:c>
      <x:c r="K33" s="7" t="n">
        <x:v>7.008113267487394</x:v>
      </x:c>
      <x:c r="L33" s="7" t="n">
        <x:v>-1.936403797941048</x:v>
      </x:c>
      <x:c r="M33" s="8" t="n">
        <x:v>0.6574547576650959</x:v>
      </x:c>
      <x:c r="N33" s="8" t="n">
        <x:v>0.9299726339372726</x:v>
      </x:c>
      <x:c r="O33" s="7" t="n">
        <x:v>0</x:v>
      </x:c>
      <x:c r="P33" s="7" t="n">
        <x:v>120.11936511136264</x:v>
      </x:c>
      <x:c r="Q33" s="7" t="n">
        <x:v>120.11936511136264</x:v>
      </x:c>
      <x:c r="R33" s="9" t="str">
        <x:v>p01269</x:v>
      </x:c>
      <x:c r="S33" s="8" t="n">
        <x:v>0.72</x:v>
      </x:c>
      <x:c r="T33" s="10" t="n">
        <x:v>25</x:v>
      </x:c>
      <x:c r="U33" s="10" t="n">
        <x:v>410</x:v>
      </x:c>
      <x:c r="V33" s="7" t="n">
        <x:v>15.42095297101729</x:v>
      </x:c>
      <x:c r="W33" s="1" t="str">
        <x:v>peer</x:v>
      </x:c>
    </x:row>
    <x:row r="34" ht="25" customHeight="1">
      <x:c r="A34" s="1" t="str">
        <x:v>组员 low90_w20x3 + HistGB</x:v>
      </x:c>
      <x:c r="B34" s="1" t="str">
        <x:v>r01_f03</x:v>
      </x:c>
      <x:c r="C34" s="7" t="n">
        <x:v>21.235105267234644</x:v>
      </x:c>
      <x:c r="D34" s="7" t="n">
        <x:v>9.978548521325695</x:v>
      </x:c>
      <x:c r="E34" s="7" t="n">
        <x:v>12.826190142146242</x:v>
      </x:c>
      <x:c r="F34" s="7" t="n">
        <x:v>11.423642329712498</x:v>
      </x:c>
      <x:c r="G34" s="7" t="n">
        <x:v>20</x:v>
      </x:c>
      <x:c r="H34" s="7" t="n">
        <x:v>75.46348626041907</x:v>
      </x:c>
      <x:c r="I34" s="7" t="n">
        <x:v>7.990599160080351</x:v>
      </x:c>
      <x:c r="J34" s="7" t="n">
        <x:v>4.971114851528057</x:v>
      </x:c>
      <x:c r="K34" s="7" t="n">
        <x:v>7.795413414663024</x:v>
      </x:c>
      <x:c r="L34" s="7" t="n">
        <x:v>-1.688073133069969</x:v>
      </x:c>
      <x:c r="M34" s="8" t="n">
        <x:v>0.8033586466747806</x:v>
      </x:c>
      <x:c r="N34" s="8" t="n">
        <x:v>0.9275396714048747</x:v>
      </x:c>
      <x:c r="O34" s="7" t="n">
        <x:v>0</x:v>
      </x:c>
      <x:c r="P34" s="7" t="n">
        <x:v>115.76481925917324</x:v>
      </x:c>
      <x:c r="Q34" s="7" t="n">
        <x:v>115.76481925917324</x:v>
      </x:c>
      <x:c r="R34" s="9" t="str">
        <x:v>p01969</x:v>
      </x:c>
      <x:c r="S34" s="8" t="n">
        <x:v>0.5263157894736842</x:v>
      </x:c>
      <x:c r="T34" s="10" t="n">
        <x:v>19</x:v>
      </x:c>
      <x:c r="U34" s="10" t="n">
        <x:v>410</x:v>
      </x:c>
      <x:c r="V34" s="7" t="n">
        <x:v>15.8787915748967</x:v>
      </x:c>
      <x:c r="W34" s="1" t="str">
        <x:v>peer</x:v>
      </x:c>
    </x:row>
    <x:row r="35" ht="25" customHeight="1">
      <x:c r="A35" s="1" t="str">
        <x:v>组员 low90_w20x3 + HistGB</x:v>
      </x:c>
      <x:c r="B35" s="1" t="str">
        <x:v>r01_f04</x:v>
      </x:c>
      <x:c r="C35" s="7" t="n">
        <x:v>27.24707864930539</x:v>
      </x:c>
      <x:c r="D35" s="7" t="n">
        <x:v>11.06645303441572</x:v>
      </x:c>
      <x:c r="E35" s="7" t="n">
        <x:v>13.140479569967493</x:v>
      </x:c>
      <x:c r="F35" s="7" t="n">
        <x:v>11.446404009575039</x:v>
      </x:c>
      <x:c r="G35" s="7" t="n">
        <x:v>20</x:v>
      </x:c>
      <x:c r="H35" s="7" t="n">
        <x:v>82.90041526326364</x:v>
      </x:c>
      <x:c r="I35" s="7" t="n">
        <x:v>5.610088533134052</x:v>
      </x:c>
      <x:c r="J35" s="7" t="n">
        <x:v>4.899963002233993</x:v>
      </x:c>
      <x:c r="K35" s="7" t="n">
        <x:v>4.815944410249081</x:v>
      </x:c>
      <x:c r="L35" s="7" t="n">
        <x:v>-1.372980113269498</x:v>
      </x:c>
      <x:c r="M35" s="8" t="n">
        <x:v>0.8892439807043627</x:v>
      </x:c>
      <x:c r="N35" s="8" t="n">
        <x:v>0.9380159856655831</x:v>
      </x:c>
      <x:c r="O35" s="7" t="n">
        <x:v>0</x:v>
      </x:c>
      <x:c r="P35" s="7" t="n">
        <x:v>118.06331726303324</x:v>
      </x:c>
      <x:c r="Q35" s="7" t="n">
        <x:v>118.06331726303324</x:v>
      </x:c>
      <x:c r="R35" s="9" t="str">
        <x:v>p01631</x:v>
      </x:c>
      <x:c r="S35" s="8" t="n">
        <x:v>0.7058823529411765</x:v>
      </x:c>
      <x:c r="T35" s="10" t="n">
        <x:v>17</x:v>
      </x:c>
      <x:c r="U35" s="10" t="n">
        <x:v>409</x:v>
      </x:c>
      <x:c r="V35" s="7" t="n">
        <x:v>15.783154952522695</x:v>
      </x:c>
      <x:c r="W35" s="1" t="str">
        <x:v>peer</x:v>
      </x:c>
    </x:row>
    <x:row r="36" ht="25" customHeight="1">
      <x:c r="A36" s="1" t="str">
        <x:v>组员 low90_w20x3 + HistGB</x:v>
      </x:c>
      <x:c r="B36" s="1" t="str">
        <x:v>r01_f05</x:v>
      </x:c>
      <x:c r="C36" s="7" t="n">
        <x:v>22.23247761760475</x:v>
      </x:c>
      <x:c r="D36" s="7" t="n">
        <x:v>10.860644568392514</x:v>
      </x:c>
      <x:c r="E36" s="7" t="n">
        <x:v>12.48042828356693</x:v>
      </x:c>
      <x:c r="F36" s="7" t="n">
        <x:v>11.311011781205368</x:v>
      </x:c>
      <x:c r="G36" s="7" t="n">
        <x:v>20</x:v>
      </x:c>
      <x:c r="H36" s="7" t="n">
        <x:v>76.88456225076956</x:v>
      </x:c>
      <x:c r="I36" s="7" t="n">
        <x:v>6.040229408710487</x:v>
      </x:c>
      <x:c r="J36" s="7" t="n">
        <x:v>5.168709556217584</x:v>
      </x:c>
      <x:c r="K36" s="7" t="n">
        <x:v>5.966394363175885</x:v>
      </x:c>
      <x:c r="L36" s="7" t="n">
        <x:v>-1.8493594041397858</x:v>
      </x:c>
      <x:c r="M36" s="8" t="n">
        <x:v>0.8176068231086393</x:v>
      </x:c>
      <x:c r="N36" s="8" t="n">
        <x:v>0.9160142761188976</x:v>
      </x:c>
      <x:c r="O36" s="7" t="n">
        <x:v>0</x:v>
      </x:c>
      <x:c r="P36" s="7" t="n">
        <x:v>117.58323827682761</x:v>
      </x:c>
      <x:c r="Q36" s="7" t="n">
        <x:v>117.58323827682761</x:v>
      </x:c>
      <x:c r="R36" s="9" t="str">
        <x:v>p00256</x:v>
      </x:c>
      <x:c r="S36" s="8" t="n">
        <x:v>0.85</x:v>
      </x:c>
      <x:c r="T36" s="10" t="n">
        <x:v>20</x:v>
      </x:c>
      <x:c r="U36" s="10" t="n">
        <x:v>409</x:v>
      </x:c>
      <x:c r="V36" s="7" t="n">
        <x:v>15.848067604593389</x:v>
      </x:c>
      <x:c r="W36" s="1" t="str">
        <x:v>peer</x:v>
      </x:c>
    </x:row>
    <x:row r="37" ht="25" customHeight="1">
      <x:c r="A37" s="1" t="str">
        <x:v>组员 low90_w20x3 + HistGB</x:v>
      </x:c>
      <x:c r="B37" s="1" t="str">
        <x:v>r02_f01</x:v>
      </x:c>
      <x:c r="C37" s="7" t="n">
        <x:v>15.752015054151736</x:v>
      </x:c>
      <x:c r="D37" s="7" t="n">
        <x:v>10.647961802596384</x:v>
      </x:c>
      <x:c r="E37" s="7" t="n">
        <x:v>12.56928915208318</x:v>
      </x:c>
      <x:c r="F37" s="7" t="n">
        <x:v>11.284206026478328</x:v>
      </x:c>
      <x:c r="G37" s="7" t="n">
        <x:v>15.820876790579712</x:v>
      </x:c>
      <x:c r="H37" s="7" t="n">
        <x:v>66.07434882588934</x:v>
      </x:c>
      <x:c r="I37" s="7" t="n">
        <x:v>6.436495880216972</x:v>
      </x:c>
      <x:c r="J37" s="7" t="n">
        <x:v>5.185658354070156</x:v>
      </x:c>
      <x:c r="K37" s="7" t="n">
        <x:v>5.571077713846367</x:v>
      </x:c>
      <x:c r="L37" s="7" t="n">
        <x:v>-2.1054086052151786</x:v>
      </x:c>
      <x:c r="M37" s="8" t="n">
        <x:v>0.7250287864878819</x:v>
      </x:c>
      <x:c r="N37" s="8" t="n">
        <x:v>0.9189763050694393</x:v>
      </x:c>
      <x:c r="O37" s="7" t="n">
        <x:v>4.159852278477047</x:v>
      </x:c>
      <x:c r="P37" s="7" t="n">
        <x:v>124.58624549600063</x:v>
      </x:c>
      <x:c r="Q37" s="7" t="n">
        <x:v>120.42639321752358</x:v>
      </x:c>
      <x:c r="R37" s="9" t="str">
        <x:v>p01838</x:v>
      </x:c>
      <x:c r="S37" s="8" t="n">
        <x:v>0.7222222222222222</x:v>
      </x:c>
      <x:c r="T37" s="10" t="n">
        <x:v>18</x:v>
      </x:c>
      <x:c r="U37" s="10" t="n">
        <x:v>410</x:v>
      </x:c>
      <x:c r="V37" s="7" t="n">
        <x:v>15.747922965383665</x:v>
      </x:c>
      <x:c r="W37" s="1" t="str">
        <x:v>peer</x:v>
      </x:c>
    </x:row>
    <x:row r="38" ht="25" customHeight="1">
      <x:c r="A38" s="1" t="str">
        <x:v>组员 low90_w20x3 + HistGB</x:v>
      </x:c>
      <x:c r="B38" s="1" t="str">
        <x:v>r02_f02</x:v>
      </x:c>
      <x:c r="C38" s="7" t="n">
        <x:v>19.087505323536586</x:v>
      </x:c>
      <x:c r="D38" s="7" t="n">
        <x:v>11.25618383601071</x:v>
      </x:c>
      <x:c r="E38" s="7" t="n">
        <x:v>12.92453599123721</x:v>
      </x:c>
      <x:c r="F38" s="7" t="n">
        <x:v>11.426932717467032</x:v>
      </x:c>
      <x:c r="G38" s="7" t="n">
        <x:v>20</x:v>
      </x:c>
      <x:c r="H38" s="7" t="n">
        <x:v>74.69515786825154</x:v>
      </x:c>
      <x:c r="I38" s="7" t="n">
        <x:v>5.279361059338772</x:v>
      </x:c>
      <x:c r="J38" s="7" t="n">
        <x:v>4.9632888545530465</x:v>
      </x:c>
      <x:c r="K38" s="7" t="n">
        <x:v>4.002976019479383</x:v>
      </x:c>
      <x:c r="L38" s="7" t="n">
        <x:v>-1.885081595124835</x:v>
      </x:c>
      <x:c r="M38" s="8" t="n">
        <x:v>0.7726786474790941</x:v>
      </x:c>
      <x:c r="N38" s="8" t="n">
        <x:v>0.9308178663745736</x:v>
      </x:c>
      <x:c r="O38" s="7" t="n">
        <x:v>0</x:v>
      </x:c>
      <x:c r="P38" s="7" t="n">
        <x:v>118.06331726303324</x:v>
      </x:c>
      <x:c r="Q38" s="7" t="n">
        <x:v>118.06331726303324</x:v>
      </x:c>
      <x:c r="R38" s="9" t="str">
        <x:v>p01631</x:v>
      </x:c>
      <x:c r="S38" s="8" t="n">
        <x:v>0.6666666666666666</x:v>
      </x:c>
      <x:c r="T38" s="10" t="n">
        <x:v>15</x:v>
      </x:c>
      <x:c r="U38" s="10" t="n">
        <x:v>410</x:v>
      </x:c>
      <x:c r="V38" s="7" t="n">
        <x:v>15.872963846940493</x:v>
      </x:c>
      <x:c r="W38" s="1" t="str">
        <x:v>peer</x:v>
      </x:c>
    </x:row>
    <x:row r="39" ht="25" customHeight="1">
      <x:c r="A39" s="1" t="str">
        <x:v>组员 low90_w20x3 + HistGB</x:v>
      </x:c>
      <x:c r="B39" s="1" t="str">
        <x:v>r02_f03</x:v>
      </x:c>
      <x:c r="C39" s="7" t="n">
        <x:v>13.153123216906963</x:v>
      </x:c>
      <x:c r="D39" s="7" t="n">
        <x:v>10.634792995320316</x:v>
      </x:c>
      <x:c r="E39" s="7" t="n">
        <x:v>13.19486807872668</x:v>
      </x:c>
      <x:c r="F39" s="7" t="n">
        <x:v>11.279725627215559</x:v>
      </x:c>
      <x:c r="G39" s="7" t="n">
        <x:v>18.505668449197703</x:v>
      </x:c>
      <x:c r="H39" s="7" t="n">
        <x:v>66.76817836736723</x:v>
      </x:c>
      <x:c r="I39" s="7" t="n">
        <x:v>6.3793639964088085</x:v>
      </x:c>
      <x:c r="J39" s="7" t="n">
        <x:v>5.125993075681575</x:v>
      </x:c>
      <x:c r="K39" s="7" t="n">
        <x:v>5.9566276580994355</x:v>
      </x:c>
      <x:c r="L39" s="7" t="n">
        <x:v>-1.6015726777111463</x:v>
      </x:c>
      <x:c r="M39" s="8" t="n">
        <x:v>0.687901760241528</x:v>
      </x:c>
      <x:c r="N39" s="8" t="n">
        <x:v>0.939828935957556</x:v>
      </x:c>
      <x:c r="O39" s="7" t="n">
        <x:v>1.25500012628072</x:v>
      </x:c>
      <x:c r="P39" s="7" t="n">
        <x:v>121.84364757331787</x:v>
      </x:c>
      <x:c r="Q39" s="7" t="n">
        <x:v>120.58864744703715</x:v>
      </x:c>
      <x:c r="R39" s="9" t="str">
        <x:v>p00985</x:v>
      </x:c>
      <x:c r="S39" s="8" t="n">
        <x:v>0.75</x:v>
      </x:c>
      <x:c r="T39" s="10" t="n">
        <x:v>24</x:v>
      </x:c>
      <x:c r="U39" s="10" t="n">
        <x:v>410</x:v>
      </x:c>
      <x:c r="V39" s="7" t="n">
        <x:v>15.5418094653647</x:v>
      </x:c>
      <x:c r="W39" s="1" t="str">
        <x:v>peer</x:v>
      </x:c>
    </x:row>
    <x:row r="40" ht="25" customHeight="1">
      <x:c r="A40" s="1" t="str">
        <x:v>组员 low90_w20x3 + HistGB</x:v>
      </x:c>
      <x:c r="B40" s="1" t="str">
        <x:v>r02_f04</x:v>
      </x:c>
      <x:c r="C40" s="7" t="n">
        <x:v>29.35343158954703</x:v>
      </x:c>
      <x:c r="D40" s="7" t="n">
        <x:v>10.817427303331744</x:v>
      </x:c>
      <x:c r="E40" s="7" t="n">
        <x:v>12.90308396689702</x:v>
      </x:c>
      <x:c r="F40" s="7" t="n">
        <x:v>11.61595558538748</x:v>
      </x:c>
      <x:c r="G40" s="7" t="n">
        <x:v>20</x:v>
      </x:c>
      <x:c r="H40" s="7" t="n">
        <x:v>84.68989844516327</x:v>
      </x:c>
      <x:c r="I40" s="7" t="n">
        <x:v>6.195073256715174</x:v>
      </x:c>
      <x:c r="J40" s="7" t="n">
        <x:v>4.667754916331832</x:v>
      </x:c>
      <x:c r="K40" s="7" t="n">
        <x:v>5.89563032320813</x:v>
      </x:c>
      <x:c r="L40" s="7" t="n">
        <x:v>-1.17615918308713</x:v>
      </x:c>
      <x:c r="M40" s="8" t="n">
        <x:v>0.919334736993529</x:v>
      </x:c>
      <x:c r="N40" s="8" t="n">
        <x:v>0.9301027988965673</x:v>
      </x:c>
      <x:c r="O40" s="7" t="n">
        <x:v>0</x:v>
      </x:c>
      <x:c r="P40" s="7" t="n">
        <x:v>117.58323827682761</x:v>
      </x:c>
      <x:c r="Q40" s="7" t="n">
        <x:v>117.58323827682761</x:v>
      </x:c>
      <x:c r="R40" s="9" t="str">
        <x:v>p00256</x:v>
      </x:c>
      <x:c r="S40" s="8" t="n">
        <x:v>0.65</x:v>
      </x:c>
      <x:c r="T40" s="10" t="n">
        <x:v>20</x:v>
      </x:c>
      <x:c r="U40" s="10" t="n">
        <x:v>409</x:v>
      </x:c>
      <x:c r="V40" s="7" t="n">
        <x:v>16.022376525986868</x:v>
      </x:c>
      <x:c r="W40" s="1" t="str">
        <x:v>peer</x:v>
      </x:c>
    </x:row>
    <x:row r="41" ht="25" customHeight="1">
      <x:c r="A41" s="1" t="str">
        <x:v>组员 low90_w20x3 + HistGB</x:v>
      </x:c>
      <x:c r="B41" s="1" t="str">
        <x:v>r02_f05</x:v>
      </x:c>
      <x:c r="C41" s="7" t="n">
        <x:v>21.165573096143067</x:v>
      </x:c>
      <x:c r="D41" s="7" t="n">
        <x:v>10.282415463532878</x:v>
      </x:c>
      <x:c r="E41" s="7" t="n">
        <x:v>12.739532976427641</x:v>
      </x:c>
      <x:c r="F41" s="7" t="n">
        <x:v>11.149314485233138</x:v>
      </x:c>
      <x:c r="G41" s="7" t="n">
        <x:v>15.279450384193789</x:v>
      </x:c>
      <x:c r="H41" s="7" t="n">
        <x:v>70.61628640553052</x:v>
      </x:c>
      <x:c r="I41" s="7" t="n">
        <x:v>7.176458509162317</x:v>
      </x:c>
      <x:c r="J41" s="7" t="n">
        <x:v>5.402260476427392</x:v>
      </x:c>
      <x:c r="K41" s="7" t="n">
        <x:v>6.858518962893947</x:v>
      </x:c>
      <x:c r="L41" s="7" t="n">
        <x:v>-1.9616410555372095</x:v>
      </x:c>
      <x:c r="M41" s="8" t="n">
        <x:v>0.802365329944901</x:v>
      </x:c>
      <x:c r="N41" s="8" t="n">
        <x:v>0.9246510992142547</x:v>
      </x:c>
      <x:c r="O41" s="7" t="n">
        <x:v>4.832484490776551</x:v>
      </x:c>
      <x:c r="P41" s="7" t="n">
        <x:v>120.59730374994979</x:v>
      </x:c>
      <x:c r="Q41" s="7" t="n">
        <x:v>115.76481925917324</x:v>
      </x:c>
      <x:c r="R41" s="9" t="str">
        <x:v>p01024</x:v>
      </x:c>
      <x:c r="S41" s="8" t="n">
        <x:v>0.7692307692307693</x:v>
      </x:c>
      <x:c r="T41" s="10" t="n">
        <x:v>26</x:v>
      </x:c>
      <x:c r="U41" s="10" t="n">
        <x:v>409</x:v>
      </x:c>
      <x:c r="V41" s="7" t="n">
        <x:v>15.641760603885892</x:v>
      </x:c>
      <x:c r="W41" s="1" t="str">
        <x:v>peer</x:v>
      </x:c>
    </x:row>
    <x:row r="42" ht="25" customHeight="1">
      <x:c r="A42" s="1" t="str">
        <x:v>组员 tiered + HistGB</x:v>
      </x:c>
      <x:c r="B42" s="1" t="str">
        <x:v>r01_f01</x:v>
      </x:c>
      <x:c r="C42" s="7" t="n">
        <x:v>21.987824880431482</x:v>
      </x:c>
      <x:c r="D42" s="7" t="n">
        <x:v>11.16228854102037</x:v>
      </x:c>
      <x:c r="E42" s="7" t="n">
        <x:v>13.181423229906322</x:v>
      </x:c>
      <x:c r="F42" s="7" t="n">
        <x:v>11.649206018190952</x:v>
      </x:c>
      <x:c r="G42" s="7" t="n">
        <x:v>18.52820804477397</x:v>
      </x:c>
      <x:c r="H42" s="7" t="n">
        <x:v>76.50895071432309</x:v>
      </x:c>
      <x:c r="I42" s="7" t="n">
        <x:v>5.466272728942385</x:v>
      </x:c>
      <x:c r="J42" s="7" t="n">
        <x:v>4.573236097433991</x:v>
      </x:c>
      <x:c r="K42" s="7" t="n">
        <x:v>5.222143304200318</x:v>
      </x:c>
      <x:c r="L42" s="7" t="n">
        <x:v>-0.2684404240165738</x:v>
      </x:c>
      <x:c r="M42" s="8" t="n">
        <x:v>0.814111784006164</x:v>
      </x:c>
      <x:c r="N42" s="8" t="n">
        <x:v>0.9393807743302107</x:v>
      </x:c>
      <x:c r="O42" s="7" t="n">
        <x:v>1.2629472981207073</x:v>
      </x:c>
      <x:c r="P42" s="7" t="n">
        <x:v>120.59730374994979</x:v>
      </x:c>
      <x:c r="Q42" s="7" t="n">
        <x:v>119.33435645182908</x:v>
      </x:c>
      <x:c r="R42" s="9" t="str">
        <x:v>p01024</x:v>
      </x:c>
      <x:c r="S42" s="8" t="n">
        <x:v>0.6818181818181818</x:v>
      </x:c>
      <x:c r="T42" s="10" t="n">
        <x:v>22</x:v>
      </x:c>
      <x:c r="U42" s="10" t="n">
        <x:v>410</x:v>
      </x:c>
      <x:c r="V42" s="7" t="n">
        <x:v>15.899088322963365</x:v>
      </x:c>
      <x:c r="W42" s="1" t="str">
        <x:v>peer</x:v>
      </x:c>
    </x:row>
    <x:row r="43" ht="25" customHeight="1">
      <x:c r="A43" s="1" t="str">
        <x:v>组员 tiered + HistGB</x:v>
      </x:c>
      <x:c r="B43" s="1" t="str">
        <x:v>r01_f02</x:v>
      </x:c>
      <x:c r="C43" s="7" t="n">
        <x:v>7.376060597552144</x:v>
      </x:c>
      <x:c r="D43" s="7" t="n">
        <x:v>9.828300281286314</x:v>
      </x:c>
      <x:c r="E43" s="7" t="n">
        <x:v>13.054978255262654</x:v>
      </x:c>
      <x:c r="F43" s="7" t="n">
        <x:v>11.07766983166214</x:v>
      </x:c>
      <x:c r="G43" s="7" t="n">
        <x:v>13.104455440705978</x:v>
      </x:c>
      <x:c r="H43" s="7" t="n">
        <x:v>54.44146440646923</x:v>
      </x:c>
      <x:c r="I43" s="7" t="n">
        <x:v>8.114580940751354</x:v>
      </x:c>
      <x:c r="J43" s="7" t="n">
        <x:v>5.460179801519222</x:v>
      </x:c>
      <x:c r="K43" s="7" t="n">
        <x:v>7.597615235070577</x:v>
      </x:c>
      <x:c r="L43" s="7" t="n">
        <x:v>-0.3369932287476127</x:v>
      </x:c>
      <x:c r="M43" s="8" t="n">
        <x:v>0.6053722942507449</x:v>
      </x:c>
      <x:c r="N43" s="8" t="n">
        <x:v>0.9351659418420885</x:v>
      </x:c>
      <x:c r="O43" s="7" t="n">
        <x:v>8.114482043116368</x:v>
      </x:c>
      <x:c r="P43" s="7" t="n">
        <x:v>128.233847154479</x:v>
      </x:c>
      <x:c r="Q43" s="7" t="n">
        <x:v>120.11936511136264</x:v>
      </x:c>
      <x:c r="R43" s="9" t="str">
        <x:v>p01879</x:v>
      </x:c>
      <x:c r="S43" s="8" t="n">
        <x:v>0.68</x:v>
      </x:c>
      <x:c r="T43" s="10" t="n">
        <x:v>25</x:v>
      </x:c>
      <x:c r="U43" s="10" t="n">
        <x:v>410</x:v>
      </x:c>
      <x:c r="V43" s="7" t="n">
        <x:v>15.42095297101729</x:v>
      </x:c>
      <x:c r="W43" s="1" t="str">
        <x:v>peer</x:v>
      </x:c>
    </x:row>
    <x:row r="44" ht="25" customHeight="1">
      <x:c r="A44" s="1" t="str">
        <x:v>组员 tiered + HistGB</x:v>
      </x:c>
      <x:c r="B44" s="1" t="str">
        <x:v>r01_f03</x:v>
      </x:c>
      <x:c r="C44" s="7" t="n">
        <x:v>23.628586942344366</x:v>
      </x:c>
      <x:c r="D44" s="7" t="n">
        <x:v>9.996797227860881</x:v>
      </x:c>
      <x:c r="E44" s="7" t="n">
        <x:v>13.04022557502746</x:v>
      </x:c>
      <x:c r="F44" s="7" t="n">
        <x:v>11.331358065882705</x:v>
      </x:c>
      <x:c r="G44" s="7" t="n">
        <x:v>20</x:v>
      </x:c>
      <x:c r="H44" s="7" t="n">
        <x:v>77.99696781111541</x:v>
      </x:c>
      <x:c r="I44" s="7" t="n">
        <x:v>7.947026654129913</x:v>
      </x:c>
      <x:c r="J44" s="7" t="n">
        <x:v>5.140919587579593</x:v>
      </x:c>
      <x:c r="K44" s="7" t="n">
        <x:v>7.756311959072337</x:v>
      </x:c>
      <x:c r="L44" s="7" t="n">
        <x:v>-0.2367505013425166</x:v>
      </x:c>
      <x:c r="M44" s="8" t="n">
        <x:v>0.837551242033491</x:v>
      </x:c>
      <x:c r="N44" s="8" t="n">
        <x:v>0.9346741858342487</x:v>
      </x:c>
      <x:c r="O44" s="7" t="n">
        <x:v>0</x:v>
      </x:c>
      <x:c r="P44" s="7" t="n">
        <x:v>115.76481925917324</x:v>
      </x:c>
      <x:c r="Q44" s="7" t="n">
        <x:v>115.76481925917324</x:v>
      </x:c>
      <x:c r="R44" s="9" t="str">
        <x:v>p01969</x:v>
      </x:c>
      <x:c r="S44" s="8" t="n">
        <x:v>0.47368421052631576</x:v>
      </x:c>
      <x:c r="T44" s="10" t="n">
        <x:v>19</x:v>
      </x:c>
      <x:c r="U44" s="10" t="n">
        <x:v>410</x:v>
      </x:c>
      <x:c r="V44" s="7" t="n">
        <x:v>15.8787915748967</x:v>
      </x:c>
      <x:c r="W44" s="1" t="str">
        <x:v>peer</x:v>
      </x:c>
    </x:row>
    <x:row r="45" ht="25" customHeight="1">
      <x:c r="A45" s="1" t="str">
        <x:v>组员 tiered + HistGB</x:v>
      </x:c>
      <x:c r="B45" s="1" t="str">
        <x:v>r01_f04</x:v>
      </x:c>
      <x:c r="C45" s="7" t="n">
        <x:v>25.5772578893331</x:v>
      </x:c>
      <x:c r="D45" s="7" t="n">
        <x:v>11.036095174152626</x:v>
      </x:c>
      <x:c r="E45" s="7" t="n">
        <x:v>13.58498749714223</x:v>
      </x:c>
      <x:c r="F45" s="7" t="n">
        <x:v>11.713796571714873</x:v>
      </x:c>
      <x:c r="G45" s="7" t="n">
        <x:v>20</x:v>
      </x:c>
      <x:c r="H45" s="7" t="n">
        <x:v>81.91213713234283</x:v>
      </x:c>
      <x:c r="I45" s="7" t="n">
        <x:v>5.668936620801236</x:v>
      </x:c>
      <x:c r="J45" s="7" t="n">
        <x:v>4.427826417899135</x:v>
      </x:c>
      <x:c r="K45" s="7" t="n">
        <x:v>5.360640164462232</x:v>
      </x:c>
      <x:c r="L45" s="7" t="n">
        <x:v>-0.1089021919489901</x:v>
      </x:c>
      <x:c r="M45" s="8" t="n">
        <x:v>0.8653893984190443</x:v>
      </x:c>
      <x:c r="N45" s="8" t="n">
        <x:v>0.9528329165714077</x:v>
      </x:c>
      <x:c r="O45" s="7" t="n">
        <x:v>0</x:v>
      </x:c>
      <x:c r="P45" s="7" t="n">
        <x:v>118.06331726303324</x:v>
      </x:c>
      <x:c r="Q45" s="7" t="n">
        <x:v>118.06331726303324</x:v>
      </x:c>
      <x:c r="R45" s="9" t="str">
        <x:v>p01631</x:v>
      </x:c>
      <x:c r="S45" s="8" t="n">
        <x:v>0.7058823529411765</x:v>
      </x:c>
      <x:c r="T45" s="10" t="n">
        <x:v>17</x:v>
      </x:c>
      <x:c r="U45" s="10" t="n">
        <x:v>409</x:v>
      </x:c>
      <x:c r="V45" s="7" t="n">
        <x:v>15.783154952522695</x:v>
      </x:c>
      <x:c r="W45" s="1" t="str">
        <x:v>peer</x:v>
      </x:c>
    </x:row>
    <x:row r="46" ht="25" customHeight="1">
      <x:c r="A46" s="1" t="str">
        <x:v>组员 tiered + HistGB</x:v>
      </x:c>
      <x:c r="B46" s="1" t="str">
        <x:v>r01_f05</x:v>
      </x:c>
      <x:c r="C46" s="7" t="n">
        <x:v>16.408717564477723</x:v>
      </x:c>
      <x:c r="D46" s="7" t="n">
        <x:v>10.380326561067596</x:v>
      </x:c>
      <x:c r="E46" s="7" t="n">
        <x:v>13.157161381096293</x:v>
      </x:c>
      <x:c r="F46" s="7" t="n">
        <x:v>11.494029390041568</x:v>
      </x:c>
      <x:c r="G46" s="7" t="n">
        <x:v>20</x:v>
      </x:c>
      <x:c r="H46" s="7" t="n">
        <x:v>71.44023489668318</x:v>
      </x:c>
      <x:c r="I46" s="7" t="n">
        <x:v>7.053043711161953</x:v>
      </x:c>
      <x:c r="J46" s="7" t="n">
        <x:v>4.834062743434295</x:v>
      </x:c>
      <x:c r="K46" s="7" t="n">
        <x:v>7.053043711161953</x:v>
      </x:c>
      <x:c r="L46" s="7" t="n">
        <x:v>-0.017498693775822253</x:v>
      </x:c>
      <x:c r="M46" s="8" t="n">
        <x:v>0.7344102509211103</x:v>
      </x:c>
      <x:c r="N46" s="8" t="n">
        <x:v>0.9385720460365431</x:v>
      </x:c>
      <x:c r="O46" s="7" t="n">
        <x:v>0</x:v>
      </x:c>
      <x:c r="P46" s="7" t="n">
        <x:v>117.58323827682761</x:v>
      </x:c>
      <x:c r="Q46" s="7" t="n">
        <x:v>117.58323827682761</x:v>
      </x:c>
      <x:c r="R46" s="9" t="str">
        <x:v>p00256</x:v>
      </x:c>
      <x:c r="S46" s="8" t="n">
        <x:v>0.8</x:v>
      </x:c>
      <x:c r="T46" s="10" t="n">
        <x:v>20</x:v>
      </x:c>
      <x:c r="U46" s="10" t="n">
        <x:v>409</x:v>
      </x:c>
      <x:c r="V46" s="7" t="n">
        <x:v>15.848067604593389</x:v>
      </x:c>
      <x:c r="W46" s="1" t="str">
        <x:v>peer</x:v>
      </x:c>
    </x:row>
    <x:row r="47" ht="25" customHeight="1">
      <x:c r="A47" s="1" t="str">
        <x:v>组员 tiered + HistGB</x:v>
      </x:c>
      <x:c r="B47" s="1" t="str">
        <x:v>r02_f01</x:v>
      </x:c>
      <x:c r="C47" s="7" t="n">
        <x:v>15.374938140390945</x:v>
      </x:c>
      <x:c r="D47" s="7" t="n">
        <x:v>10.236927959472041</x:v>
      </x:c>
      <x:c r="E47" s="7" t="n">
        <x:v>13.051465167331791</x:v>
      </x:c>
      <x:c r="F47" s="7" t="n">
        <x:v>11.43965606713782</x:v>
      </x:c>
      <x:c r="G47" s="7" t="n">
        <x:v>20</x:v>
      </x:c>
      <x:c r="H47" s="7" t="n">
        <x:v>70.1029873343326</x:v>
      </x:c>
      <x:c r="I47" s="7" t="n">
        <x:v>7.327246208019184</x:v>
      </x:c>
      <x:c r="J47" s="7" t="n">
        <x:v>4.901198222737551</x:v>
      </x:c>
      <x:c r="K47" s="7" t="n">
        <x:v>6.736251036325273</x:v>
      </x:c>
      <x:c r="L47" s="7" t="n">
        <x:v>-0.44633111424985816</x:v>
      </x:c>
      <x:c r="M47" s="8" t="n">
        <x:v>0.7196419734341564</x:v>
      </x:c>
      <x:c r="N47" s="8" t="n">
        <x:v>0.9350488389110597</x:v>
      </x:c>
      <x:c r="O47" s="7" t="n">
        <x:v>0</x:v>
      </x:c>
      <x:c r="P47" s="7" t="n">
        <x:v>120.42639321752358</x:v>
      </x:c>
      <x:c r="Q47" s="7" t="n">
        <x:v>120.42639321752358</x:v>
      </x:c>
      <x:c r="R47" s="9" t="str">
        <x:v>p01197</x:v>
      </x:c>
      <x:c r="S47" s="8" t="n">
        <x:v>0.5555555555555556</x:v>
      </x:c>
      <x:c r="T47" s="10" t="n">
        <x:v>18</x:v>
      </x:c>
      <x:c r="U47" s="10" t="n">
        <x:v>410</x:v>
      </x:c>
      <x:c r="V47" s="7" t="n">
        <x:v>15.747922965383665</x:v>
      </x:c>
      <x:c r="W47" s="1" t="str">
        <x:v>peer</x:v>
      </x:c>
    </x:row>
    <x:row r="48" ht="25" customHeight="1">
      <x:c r="A48" s="1" t="str">
        <x:v>组员 tiered + HistGB</x:v>
      </x:c>
      <x:c r="B48" s="1" t="str">
        <x:v>r02_f02</x:v>
      </x:c>
      <x:c r="C48" s="7" t="n">
        <x:v>27.72655767203207</x:v>
      </x:c>
      <x:c r="D48" s="7" t="n">
        <x:v>11.260719435066534</x:v>
      </x:c>
      <x:c r="E48" s="7" t="n">
        <x:v>13.192616272001343</x:v>
      </x:c>
      <x:c r="F48" s="7" t="n">
        <x:v>11.446113266594681</x:v>
      </x:c>
      <x:c r="G48" s="7" t="n">
        <x:v>20</x:v>
      </x:c>
      <x:c r="H48" s="7" t="n">
        <x:v>83.62600664569463</x:v>
      </x:c>
      <x:c r="I48" s="7" t="n">
        <x:v>5.270841313737558</x:v>
      </x:c>
      <x:c r="J48" s="7" t="n">
        <x:v>4.928373005018038</x:v>
      </x:c>
      <x:c r="K48" s="7" t="n">
        <x:v>4.193097044009847</x:v>
      </x:c>
      <x:c r="L48" s="7" t="n">
        <x:v>-0.5273659466512963</x:v>
      </x:c>
      <x:c r="M48" s="8" t="n">
        <x:v>0.8960936810290295</x:v>
      </x:c>
      <x:c r="N48" s="8" t="n">
        <x:v>0.9397538757333781</x:v>
      </x:c>
      <x:c r="O48" s="7" t="n">
        <x:v>0</x:v>
      </x:c>
      <x:c r="P48" s="7" t="n">
        <x:v>118.06331726303324</x:v>
      </x:c>
      <x:c r="Q48" s="7" t="n">
        <x:v>118.06331726303324</x:v>
      </x:c>
      <x:c r="R48" s="9" t="str">
        <x:v>p01631</x:v>
      </x:c>
      <x:c r="S48" s="8" t="n">
        <x:v>0.5333333333333333</x:v>
      </x:c>
      <x:c r="T48" s="10" t="n">
        <x:v>15</x:v>
      </x:c>
      <x:c r="U48" s="10" t="n">
        <x:v>410</x:v>
      </x:c>
      <x:c r="V48" s="7" t="n">
        <x:v>15.872963846940493</x:v>
      </x:c>
      <x:c r="W48" s="1" t="str">
        <x:v>peer</x:v>
      </x:c>
    </x:row>
    <x:row r="49" ht="25" customHeight="1">
      <x:c r="A49" s="1" t="str">
        <x:v>组员 tiered + HistGB</x:v>
      </x:c>
      <x:c r="B49" s="1" t="str">
        <x:v>r02_f03</x:v>
      </x:c>
      <x:c r="C49" s="7" t="n">
        <x:v>8.767115883294503</x:v>
      </x:c>
      <x:c r="D49" s="7" t="n">
        <x:v>10.553989759726308</x:v>
      </x:c>
      <x:c r="E49" s="7" t="n">
        <x:v>13.48441477062839</x:v>
      </x:c>
      <x:c r="F49" s="7" t="n">
        <x:v>11.518377151935194</x:v>
      </x:c>
      <x:c r="G49" s="7" t="n">
        <x:v>18.505668449197703</x:v>
      </x:c>
      <x:c r="H49" s="7" t="n">
        <x:v>62.8295660147821</x:v>
      </x:c>
      <x:c r="I49" s="7" t="n">
        <x:v>6.547196426044853</x:v>
      </x:c>
      <x:c r="J49" s="7" t="n">
        <x:v>4.697772804373965</x:v>
      </x:c>
      <x:c r="K49" s="7" t="n">
        <x:v>5.898585107900023</x:v>
      </x:c>
      <x:c r="L49" s="7" t="n">
        <x:v>0.23657912417583363</x:v>
      </x:c>
      <x:c r="M49" s="8" t="n">
        <x:v>0.6252445126184929</x:v>
      </x:c>
      <x:c r="N49" s="8" t="n">
        <x:v>0.9494804923542797</x:v>
      </x:c>
      <x:c r="O49" s="7" t="n">
        <x:v>1.25500012628072</x:v>
      </x:c>
      <x:c r="P49" s="7" t="n">
        <x:v>121.84364757331787</x:v>
      </x:c>
      <x:c r="Q49" s="7" t="n">
        <x:v>120.58864744703715</x:v>
      </x:c>
      <x:c r="R49" s="9" t="str">
        <x:v>p00985</x:v>
      </x:c>
      <x:c r="S49" s="8" t="n">
        <x:v>0.75</x:v>
      </x:c>
      <x:c r="T49" s="10" t="n">
        <x:v>24</x:v>
      </x:c>
      <x:c r="U49" s="10" t="n">
        <x:v>410</x:v>
      </x:c>
      <x:c r="V49" s="7" t="n">
        <x:v>15.5418094653647</x:v>
      </x:c>
      <x:c r="W49" s="1" t="str">
        <x:v>peer</x:v>
      </x:c>
    </x:row>
    <x:row r="50" ht="25" customHeight="1">
      <x:c r="A50" s="1" t="str">
        <x:v>组员 tiered + HistGB</x:v>
      </x:c>
      <x:c r="B50" s="1" t="str">
        <x:v>r02_f04</x:v>
      </x:c>
      <x:c r="C50" s="7" t="n">
        <x:v>28.02669147986755</x:v>
      </x:c>
      <x:c r="D50" s="7" t="n">
        <x:v>10.212099618424935</x:v>
      </x:c>
      <x:c r="E50" s="7" t="n">
        <x:v>12.70868724333864</x:v>
      </x:c>
      <x:c r="F50" s="7" t="n">
        <x:v>11.380411431724191</x:v>
      </x:c>
      <x:c r="G50" s="7" t="n">
        <x:v>15.034371040835342</x:v>
      </x:c>
      <x:c r="H50" s="7" t="n">
        <x:v>77.36226081419066</x:v>
      </x:c>
      <x:c r="I50" s="7" t="n">
        <x:v>7.512024514929658</x:v>
      </x:c>
      <x:c r="J50" s="7" t="n">
        <x:v>5.09598543585223</x:v>
      </x:c>
      <x:c r="K50" s="7" t="n">
        <x:v>7.138926965652604</x:v>
      </x:c>
      <x:c r="L50" s="7" t="n">
        <x:v>-0.013662998590907582</x:v>
      </x:c>
      <x:c r="M50" s="8" t="n">
        <x:v>0.9003813068552508</x:v>
      </x:c>
      <x:c r="N50" s="8" t="n">
        <x:v>0.923622908111288</x:v>
      </x:c>
      <x:c r="O50" s="7" t="n">
        <x:v>5.291952463856433</x:v>
      </x:c>
      <x:c r="P50" s="7" t="n">
        <x:v>122.87519074068405</x:v>
      </x:c>
      <x:c r="Q50" s="7" t="n">
        <x:v>117.58323827682761</x:v>
      </x:c>
      <x:c r="R50" s="9" t="str">
        <x:v>p00473</x:v>
      </x:c>
      <x:c r="S50" s="8" t="n">
        <x:v>0.65</x:v>
      </x:c>
      <x:c r="T50" s="10" t="n">
        <x:v>20</x:v>
      </x:c>
      <x:c r="U50" s="10" t="n">
        <x:v>409</x:v>
      </x:c>
      <x:c r="V50" s="7" t="n">
        <x:v>16.022376525986868</x:v>
      </x:c>
      <x:c r="W50" s="1" t="str">
        <x:v>peer</x:v>
      </x:c>
    </x:row>
    <x:row r="51" ht="25" customHeight="1">
      <x:c r="A51" s="1" t="str">
        <x:v>组员 tiered + HistGB</x:v>
      </x:c>
      <x:c r="B51" s="1" t="str">
        <x:v>r02_f05</x:v>
      </x:c>
      <x:c r="C51" s="7" t="n">
        <x:v>21.77928905092558</x:v>
      </x:c>
      <x:c r="D51" s="7" t="n">
        <x:v>10.089887991255882</x:v>
      </x:c>
      <x:c r="E51" s="7" t="n">
        <x:v>13.184968832673201</x:v>
      </x:c>
      <x:c r="F51" s="7" t="n">
        <x:v>11.373680562330483</x:v>
      </x:c>
      <x:c r="G51" s="7" t="n">
        <x:v>20</x:v>
      </x:c>
      <x:c r="H51" s="7" t="n">
        <x:v>76.42782643718515</x:v>
      </x:c>
      <x:c r="I51" s="7" t="n">
        <x:v>7.61185819362908</x:v>
      </x:c>
      <x:c r="J51" s="7" t="n">
        <x:v>4.987129733984921</x:v>
      </x:c>
      <x:c r="K51" s="7" t="n">
        <x:v>7.402443029769146</x:v>
      </x:c>
      <x:c r="L51" s="7" t="n">
        <x:v>-0.5136601936624517</x:v>
      </x:c>
      <x:c r="M51" s="8" t="n">
        <x:v>0.8111327007275083</x:v>
      </x:c>
      <x:c r="N51" s="8" t="n">
        <x:v>0.9394989610891067</x:v>
      </x:c>
      <x:c r="O51" s="7" t="n">
        <x:v>0</x:v>
      </x:c>
      <x:c r="P51" s="7" t="n">
        <x:v>115.76481925917324</x:v>
      </x:c>
      <x:c r="Q51" s="7" t="n">
        <x:v>115.76481925917324</x:v>
      </x:c>
      <x:c r="R51" s="9" t="str">
        <x:v>p01969</x:v>
      </x:c>
      <x:c r="S51" s="8" t="n">
        <x:v>0.8461538461538461</x:v>
      </x:c>
      <x:c r="T51" s="10" t="n">
        <x:v>26</x:v>
      </x:c>
      <x:c r="U51" s="10" t="n">
        <x:v>409</x:v>
      </x:c>
      <x:c r="V51" s="7" t="n">
        <x:v>15.641760603885892</x:v>
      </x:c>
      <x:c r="W51" s="1" t="str">
        <x:v>peer</x:v>
      </x:c>
    </x:row>
    <x:row r="52" ht="25" customHeight="1">
      <x:c r="A52" s="1" t="str">
        <x:v>原决赛圈 原始XGBoost</x:v>
      </x:c>
      <x:c r="B52" s="1" t="str">
        <x:v>r01_f01</x:v>
      </x:c>
      <x:c r="C52" s="7" t="n">
        <x:v>21.43266396445067</x:v>
      </x:c>
      <x:c r="D52" s="7" t="n">
        <x:v>11.098699050679095</x:v>
      </x:c>
      <x:c r="E52" s="7" t="n">
        <x:v>13.075495162814644</x:v>
      </x:c>
      <x:c r="F52" s="7" t="n">
        <x:v>11.576002628118566</x:v>
      </x:c>
      <x:c r="G52" s="7" t="n">
        <x:v>18.52820804477397</x:v>
      </x:c>
      <x:c r="H52" s="7" t="n">
        <x:v>75.71106885083694</x:v>
      </x:c>
      <x:c r="I52" s="7" t="n">
        <x:v>5.588684591273663</x:v>
      </x:c>
      <x:c r="J52" s="7" t="n">
        <x:v>4.702697328428748</x:v>
      </x:c>
      <x:c r="K52" s="7" t="n">
        <x:v>5.339360071813934</x:v>
      </x:c>
      <x:c r="L52" s="7" t="n">
        <x:v>0.10406387698720254</x:v>
      </x:c>
      <x:c r="M52" s="8" t="n">
        <x:v>0.8061809137778667</x:v>
      </x:c>
      <x:c r="N52" s="8" t="n">
        <x:v>0.9358498387604881</x:v>
      </x:c>
      <x:c r="O52" s="7" t="n">
        <x:v>1.2629472981207073</x:v>
      </x:c>
      <x:c r="P52" s="7" t="n">
        <x:v>120.59730374994979</x:v>
      </x:c>
      <x:c r="Q52" s="7" t="n">
        <x:v>119.33435645182908</x:v>
      </x:c>
      <x:c r="R52" s="9" t="str">
        <x:v>p01024</x:v>
      </x:c>
      <x:c r="S52" s="8" t="n">
        <x:v>0.8181818181818182</x:v>
      </x:c>
      <x:c r="T52" s="10" t="n">
        <x:v>22</x:v>
      </x:c>
      <x:c r="U52" s="10" t="n">
        <x:v>410</x:v>
      </x:c>
      <x:c r="V52" s="7" t="n">
        <x:v>15.899088322963365</x:v>
      </x:c>
      <x:c r="W52" s="1" t="str">
        <x:v>original</x:v>
      </x:c>
    </x:row>
    <x:row r="53" ht="25" customHeight="1">
      <x:c r="A53" s="1" t="str">
        <x:v>原决赛圈 原始XGBoost</x:v>
      </x:c>
      <x:c r="B53" s="1" t="str">
        <x:v>r01_f02</x:v>
      </x:c>
      <x:c r="C53" s="7" t="n">
        <x:v>10.538152912699957</x:v>
      </x:c>
      <x:c r="D53" s="7" t="n">
        <x:v>9.632780511345983</x:v>
      </x:c>
      <x:c r="E53" s="7" t="n">
        <x:v>13.247271264636776</x:v>
      </x:c>
      <x:c r="F53" s="7" t="n">
        <x:v>11.185550085137102</x:v>
      </x:c>
      <x:c r="G53" s="7" t="n">
        <x:v>13.104455440705978</x:v>
      </x:c>
      <x:c r="H53" s="7" t="n">
        <x:v>57.70821021452579</x:v>
      </x:c>
      <x:c r="I53" s="7" t="n">
        <x:v>8.592289549437265</x:v>
      </x:c>
      <x:c r="J53" s="7" t="n">
        <x:v>5.25878944707087</x:v>
      </x:c>
      <x:c r="K53" s="7" t="n">
        <x:v>7.6487213583606355</x:v>
      </x:c>
      <x:c r="L53" s="7" t="n">
        <x:v>-0.3819449526635475</x:v>
      </x:c>
      <x:c r="M53" s="8" t="n">
        <x:v>0.6505450416099994</x:v>
      </x:c>
      <x:c r="N53" s="8" t="n">
        <x:v>0.9415757088212259</x:v>
      </x:c>
      <x:c r="O53" s="7" t="n">
        <x:v>8.114482043116368</x:v>
      </x:c>
      <x:c r="P53" s="7" t="n">
        <x:v>128.233847154479</x:v>
      </x:c>
      <x:c r="Q53" s="7" t="n">
        <x:v>120.11936511136264</x:v>
      </x:c>
      <x:c r="R53" s="9" t="str">
        <x:v>p01879</x:v>
      </x:c>
      <x:c r="S53" s="8" t="n">
        <x:v>0.72</x:v>
      </x:c>
      <x:c r="T53" s="10" t="n">
        <x:v>25</x:v>
      </x:c>
      <x:c r="U53" s="10" t="n">
        <x:v>410</x:v>
      </x:c>
      <x:c r="V53" s="7" t="n">
        <x:v>15.42095297101729</x:v>
      </x:c>
      <x:c r="W53" s="1" t="str">
        <x:v>original</x:v>
      </x:c>
    </x:row>
    <x:row r="54" ht="25" customHeight="1">
      <x:c r="A54" s="1" t="str">
        <x:v>原决赛圈 原始XGBoost</x:v>
      </x:c>
      <x:c r="B54" s="1" t="str">
        <x:v>r01_f03</x:v>
      </x:c>
      <x:c r="C54" s="7" t="n">
        <x:v>24.227420831910173</x:v>
      </x:c>
      <x:c r="D54" s="7" t="n">
        <x:v>10.162191026264296</x:v>
      </x:c>
      <x:c r="E54" s="7" t="n">
        <x:v>13.057435475558032</x:v>
      </x:c>
      <x:c r="F54" s="7" t="n">
        <x:v>11.493911436004526</x:v>
      </x:c>
      <x:c r="G54" s="7" t="n">
        <x:v>20</x:v>
      </x:c>
      <x:c r="H54" s="7" t="n">
        <x:v>78.94095876973702</x:v>
      </x:c>
      <x:c r="I54" s="7" t="n">
        <x:v>7.559251757281058</x:v>
      </x:c>
      <x:c r="J54" s="7" t="n">
        <x:v>4.843646991782081</x:v>
      </x:c>
      <x:c r="K54" s="7" t="n">
        <x:v>7.118547138202589</x:v>
      </x:c>
      <x:c r="L54" s="7" t="n">
        <x:v>-0.20835154019989383</x:v>
      </x:c>
      <x:c r="M54" s="8" t="n">
        <x:v>0.846106011884431</x:v>
      </x:c>
      <x:c r="N54" s="8" t="n">
        <x:v>0.9352478491852677</x:v>
      </x:c>
      <x:c r="O54" s="7" t="n">
        <x:v>0</x:v>
      </x:c>
      <x:c r="P54" s="7" t="n">
        <x:v>115.76481925917324</x:v>
      </x:c>
      <x:c r="Q54" s="7" t="n">
        <x:v>115.76481925917324</x:v>
      </x:c>
      <x:c r="R54" s="9" t="str">
        <x:v>p01969</x:v>
      </x:c>
      <x:c r="S54" s="8" t="n">
        <x:v>0.5789473684210527</x:v>
      </x:c>
      <x:c r="T54" s="10" t="n">
        <x:v>19</x:v>
      </x:c>
      <x:c r="U54" s="10" t="n">
        <x:v>410</x:v>
      </x:c>
      <x:c r="V54" s="7" t="n">
        <x:v>15.8787915748967</x:v>
      </x:c>
      <x:c r="W54" s="1" t="str">
        <x:v>original</x:v>
      </x:c>
    </x:row>
    <x:row r="55" ht="25" customHeight="1">
      <x:c r="A55" s="1" t="str">
        <x:v>原决赛圈 原始XGBoost</x:v>
      </x:c>
      <x:c r="B55" s="1" t="str">
        <x:v>r01_f04</x:v>
      </x:c>
      <x:c r="C55" s="7" t="n">
        <x:v>26.289383639262475</x:v>
      </x:c>
      <x:c r="D55" s="7" t="n">
        <x:v>11.042477298254424</x:v>
      </x:c>
      <x:c r="E55" s="7" t="n">
        <x:v>13.58965846970731</x:v>
      </x:c>
      <x:c r="F55" s="7" t="n">
        <x:v>11.773656450320313</x:v>
      </x:c>
      <x:c r="G55" s="7" t="n">
        <x:v>14.151435571431476</x:v>
      </x:c>
      <x:c r="H55" s="7" t="n">
        <x:v>76.84661142897599</x:v>
      </x:c>
      <x:c r="I55" s="7" t="n">
        <x:v>5.656538142908443</x:v>
      </x:c>
      <x:c r="J55" s="7" t="n">
        <x:v>4.325069309567057</x:v>
      </x:c>
      <x:c r="K55" s="7" t="n">
        <x:v>5.086655210657548</x:v>
      </x:c>
      <x:c r="L55" s="7" t="n">
        <x:v>0.10186473977699809</x:v>
      </x:c>
      <x:c r="M55" s="8" t="n">
        <x:v>0.8755626234180354</x:v>
      </x:c>
      <x:c r="N55" s="8" t="n">
        <x:v>0.9529886156569103</x:v>
      </x:c>
      <x:c r="O55" s="7" t="n">
        <x:v>6.522928232967388</x:v>
      </x:c>
      <x:c r="P55" s="7" t="n">
        <x:v>124.58624549600063</x:v>
      </x:c>
      <x:c r="Q55" s="7" t="n">
        <x:v>118.06331726303324</x:v>
      </x:c>
      <x:c r="R55" s="9" t="str">
        <x:v>p01838</x:v>
      </x:c>
      <x:c r="S55" s="8" t="n">
        <x:v>0.7058823529411765</x:v>
      </x:c>
      <x:c r="T55" s="10" t="n">
        <x:v>17</x:v>
      </x:c>
      <x:c r="U55" s="10" t="n">
        <x:v>409</x:v>
      </x:c>
      <x:c r="V55" s="7" t="n">
        <x:v>15.783154952522695</x:v>
      </x:c>
      <x:c r="W55" s="1" t="str">
        <x:v>original</x:v>
      </x:c>
    </x:row>
    <x:row r="56" ht="25" customHeight="1">
      <x:c r="A56" s="1" t="str">
        <x:v>原决赛圈 原始XGBoost</x:v>
      </x:c>
      <x:c r="B56" s="1" t="str">
        <x:v>r01_f05</x:v>
      </x:c>
      <x:c r="C56" s="7" t="n">
        <x:v>13.719362185426245</x:v>
      </x:c>
      <x:c r="D56" s="7" t="n">
        <x:v>10.664171044179753</x:v>
      </x:c>
      <x:c r="E56" s="7" t="n">
        <x:v>13.177980409744016</x:v>
      </x:c>
      <x:c r="F56" s="7" t="n">
        <x:v>11.702538274029578</x:v>
      </x:c>
      <x:c r="G56" s="7" t="n">
        <x:v>20</x:v>
      </x:c>
      <x:c r="H56" s="7" t="n">
        <x:v>69.26405191337959</x:v>
      </x:c>
      <x:c r="I56" s="7" t="n">
        <x:v>6.44349290058467</x:v>
      </x:c>
      <x:c r="J56" s="7" t="n">
        <x:v>4.465560815358404</x:v>
      </x:c>
      <x:c r="K56" s="7" t="n">
        <x:v>6.261064522509832</x:v>
      </x:c>
      <x:c r="L56" s="7" t="n">
        <x:v>0.14190804489812084</x:v>
      </x:c>
      <x:c r="M56" s="8" t="n">
        <x:v>0.6959908883632321</x:v>
      </x:c>
      <x:c r="N56" s="8" t="n">
        <x:v>0.9392660136581339</x:v>
      </x:c>
      <x:c r="O56" s="7" t="n">
        <x:v>0</x:v>
      </x:c>
      <x:c r="P56" s="7" t="n">
        <x:v>117.58323827682761</x:v>
      </x:c>
      <x:c r="Q56" s="7" t="n">
        <x:v>117.58323827682761</x:v>
      </x:c>
      <x:c r="R56" s="9" t="str">
        <x:v>p00256</x:v>
      </x:c>
      <x:c r="S56" s="8" t="n">
        <x:v>0.85</x:v>
      </x:c>
      <x:c r="T56" s="10" t="n">
        <x:v>20</x:v>
      </x:c>
      <x:c r="U56" s="10" t="n">
        <x:v>409</x:v>
      </x:c>
      <x:c r="V56" s="7" t="n">
        <x:v>15.848067604593389</x:v>
      </x:c>
      <x:c r="W56" s="1" t="str">
        <x:v>original</x:v>
      </x:c>
    </x:row>
    <x:row r="57" ht="25" customHeight="1">
      <x:c r="A57" s="1" t="str">
        <x:v>原决赛圈 原始XGBoost</x:v>
      </x:c>
      <x:c r="B57" s="1" t="str">
        <x:v>r02_f01</x:v>
      </x:c>
      <x:c r="C57" s="7" t="n">
        <x:v>13.806219108485314</x:v>
      </x:c>
      <x:c r="D57" s="7" t="n">
        <x:v>10.346737122652</x:v>
      </x:c>
      <x:c r="E57" s="7" t="n">
        <x:v>12.993911926767943</x:v>
      </x:c>
      <x:c r="F57" s="7" t="n">
        <x:v>11.38588712559641</x:v>
      </x:c>
      <x:c r="G57" s="7" t="n">
        <x:v>20</x:v>
      </x:c>
      <x:c r="H57" s="7" t="n">
        <x:v>68.53275528350167</x:v>
      </x:c>
      <x:c r="I57" s="7" t="n">
        <x:v>7.082351127847485</x:v>
      </x:c>
      <x:c r="J57" s="7" t="n">
        <x:v>4.998712046456177</x:v>
      </x:c>
      <x:c r="K57" s="7" t="n">
        <x:v>6.765260102509779</x:v>
      </x:c>
      <x:c r="L57" s="7" t="n">
        <x:v>-0.35343632054993535</x:v>
      </x:c>
      <x:c r="M57" s="8" t="n">
        <x:v>0.6972317015497902</x:v>
      </x:c>
      <x:c r="N57" s="8" t="n">
        <x:v>0.9331303975589315</x:v>
      </x:c>
      <x:c r="O57" s="7" t="n">
        <x:v>0</x:v>
      </x:c>
      <x:c r="P57" s="7" t="n">
        <x:v>120.42639321752358</x:v>
      </x:c>
      <x:c r="Q57" s="7" t="n">
        <x:v>120.42639321752358</x:v>
      </x:c>
      <x:c r="R57" s="9" t="str">
        <x:v>p01197</x:v>
      </x:c>
      <x:c r="S57" s="8" t="n">
        <x:v>0.6111111111111112</x:v>
      </x:c>
      <x:c r="T57" s="10" t="n">
        <x:v>18</x:v>
      </x:c>
      <x:c r="U57" s="10" t="n">
        <x:v>410</x:v>
      </x:c>
      <x:c r="V57" s="7" t="n">
        <x:v>15.747922965383665</x:v>
      </x:c>
      <x:c r="W57" s="1" t="str">
        <x:v>original</x:v>
      </x:c>
    </x:row>
    <x:row r="58" ht="25" customHeight="1">
      <x:c r="A58" s="1" t="str">
        <x:v>原决赛圈 原始XGBoost</x:v>
      </x:c>
      <x:c r="B58" s="1" t="str">
        <x:v>r02_f02</x:v>
      </x:c>
      <x:c r="C58" s="7" t="n">
        <x:v>27.17778696805742</x:v>
      </x:c>
      <x:c r="D58" s="7" t="n">
        <x:v>11.096095943669566</x:v>
      </x:c>
      <x:c r="E58" s="7" t="n">
        <x:v>13.125873556810728</x:v>
      </x:c>
      <x:c r="F58" s="7" t="n">
        <x:v>11.55450388329065</x:v>
      </x:c>
      <x:c r="G58" s="7" t="n">
        <x:v>20</x:v>
      </x:c>
      <x:c r="H58" s="7" t="n">
        <x:v>82.95426035182837</x:v>
      </x:c>
      <x:c r="I58" s="7" t="n">
        <x:v>5.584534259854688</x:v>
      </x:c>
      <x:c r="J58" s="7" t="n">
        <x:v>4.733239596240104</x:v>
      </x:c>
      <x:c r="K58" s="7" t="n">
        <x:v>4.8497207218860545</x:v>
      </x:c>
      <x:c r="L58" s="7" t="n">
        <x:v>-0.3601038818154604</x:v>
      </x:c>
      <x:c r="M58" s="8" t="n">
        <x:v>0.8882540995436774</x:v>
      </x:c>
      <x:c r="N58" s="8" t="n">
        <x:v>0.9375291185603576</x:v>
      </x:c>
      <x:c r="O58" s="7" t="n">
        <x:v>0</x:v>
      </x:c>
      <x:c r="P58" s="7" t="n">
        <x:v>118.06331726303324</x:v>
      </x:c>
      <x:c r="Q58" s="7" t="n">
        <x:v>118.06331726303324</x:v>
      </x:c>
      <x:c r="R58" s="9" t="str">
        <x:v>p01631</x:v>
      </x:c>
      <x:c r="S58" s="8" t="n">
        <x:v>0.5333333333333333</x:v>
      </x:c>
      <x:c r="T58" s="10" t="n">
        <x:v>15</x:v>
      </x:c>
      <x:c r="U58" s="10" t="n">
        <x:v>410</x:v>
      </x:c>
      <x:c r="V58" s="7" t="n">
        <x:v>15.872963846940493</x:v>
      </x:c>
      <x:c r="W58" s="1" t="str">
        <x:v>original</x:v>
      </x:c>
    </x:row>
    <x:row r="59" ht="25" customHeight="1">
      <x:c r="A59" s="1" t="str">
        <x:v>原决赛圈 原始XGBoost</x:v>
      </x:c>
      <x:c r="B59" s="1" t="str">
        <x:v>r02_f03</x:v>
      </x:c>
      <x:c r="C59" s="7" t="n">
        <x:v>9.946307665450634</x:v>
      </x:c>
      <x:c r="D59" s="7" t="n">
        <x:v>10.35356212318899</x:v>
      </x:c>
      <x:c r="E59" s="7" t="n">
        <x:v>13.465199199455963</x:v>
      </x:c>
      <x:c r="F59" s="7" t="n">
        <x:v>11.456417531046192</x:v>
      </x:c>
      <x:c r="G59" s="7" t="n">
        <x:v>18.505668449197703</x:v>
      </x:c>
      <x:c r="H59" s="7" t="n">
        <x:v>63.727154968339484</x:v>
      </x:c>
      <x:c r="I59" s="7" t="n">
        <x:v>6.974802615257583</x:v>
      </x:c>
      <x:c r="J59" s="7" t="n">
        <x:v>4.807234321552997</x:v>
      </x:c>
      <x:c r="K59" s="7" t="n">
        <x:v>6.482599735294722</x:v>
      </x:c>
      <x:c r="L59" s="7" t="n">
        <x:v>0.5484423433977166</x:v>
      </x:c>
      <x:c r="M59" s="8" t="n">
        <x:v>0.6420901095064376</x:v>
      </x:c>
      <x:c r="N59" s="8" t="n">
        <x:v>0.9488399733151988</x:v>
      </x:c>
      <x:c r="O59" s="7" t="n">
        <x:v>1.25500012628072</x:v>
      </x:c>
      <x:c r="P59" s="7" t="n">
        <x:v>121.84364757331787</x:v>
      </x:c>
      <x:c r="Q59" s="7" t="n">
        <x:v>120.58864744703715</x:v>
      </x:c>
      <x:c r="R59" s="9" t="str">
        <x:v>p00985</x:v>
      </x:c>
      <x:c r="S59" s="8" t="n">
        <x:v>0.75</x:v>
      </x:c>
      <x:c r="T59" s="10" t="n">
        <x:v>24</x:v>
      </x:c>
      <x:c r="U59" s="10" t="n">
        <x:v>410</x:v>
      </x:c>
      <x:c r="V59" s="7" t="n">
        <x:v>15.5418094653647</x:v>
      </x:c>
      <x:c r="W59" s="1" t="str">
        <x:v>original</x:v>
      </x:c>
    </x:row>
    <x:row r="60" ht="25" customHeight="1">
      <x:c r="A60" s="1" t="str">
        <x:v>原决赛圈 原始XGBoost</x:v>
      </x:c>
      <x:c r="B60" s="1" t="str">
        <x:v>r02_f04</x:v>
      </x:c>
      <x:c r="C60" s="7" t="n">
        <x:v>28.98528943236113</x:v>
      </x:c>
      <x:c r="D60" s="7" t="n">
        <x:v>10.45499720568207</x:v>
      </x:c>
      <x:c r="E60" s="7" t="n">
        <x:v>12.936546138294462</x:v>
      </x:c>
      <x:c r="F60" s="7" t="n">
        <x:v>11.613076746786179</x:v>
      </x:c>
      <x:c r="G60" s="7" t="n">
        <x:v>15.034371040835342</x:v>
      </x:c>
      <x:c r="H60" s="7" t="n">
        <x:v>79.02428056395918</x:v>
      </x:c>
      <x:c r="I60" s="7" t="n">
        <x:v>6.965257345324517</x:v>
      </x:c>
      <x:c r="J60" s="7" t="n">
        <x:v>4.672883923085244</x:v>
      </x:c>
      <x:c r="K60" s="7" t="n">
        <x:v>6.472834932790738</x:v>
      </x:c>
      <x:c r="L60" s="7" t="n">
        <x:v>0.004268953501702942</x:v>
      </x:c>
      <x:c r="M60" s="8" t="n">
        <x:v>0.9140755633194447</x:v>
      </x:c>
      <x:c r="N60" s="8" t="n">
        <x:v>0.9312182046098154</x:v>
      </x:c>
      <x:c r="O60" s="7" t="n">
        <x:v>5.291952463856433</x:v>
      </x:c>
      <x:c r="P60" s="7" t="n">
        <x:v>122.87519074068405</x:v>
      </x:c>
      <x:c r="Q60" s="7" t="n">
        <x:v>117.58323827682761</x:v>
      </x:c>
      <x:c r="R60" s="9" t="str">
        <x:v>p00473</x:v>
      </x:c>
      <x:c r="S60" s="8" t="n">
        <x:v>0.65</x:v>
      </x:c>
      <x:c r="T60" s="10" t="n">
        <x:v>20</x:v>
      </x:c>
      <x:c r="U60" s="10" t="n">
        <x:v>409</x:v>
      </x:c>
      <x:c r="V60" s="7" t="n">
        <x:v>16.022376525986868</x:v>
      </x:c>
      <x:c r="W60" s="1" t="str">
        <x:v>original</x:v>
      </x:c>
    </x:row>
    <x:row r="61" ht="25" customHeight="1">
      <x:c r="A61" s="1" t="str">
        <x:v>原决赛圈 原始XGBoost</x:v>
      </x:c>
      <x:c r="B61" s="1" t="str">
        <x:v>r02_f05</x:v>
      </x:c>
      <x:c r="C61" s="7" t="n">
        <x:v>24.006184792693574</x:v>
      </x:c>
      <x:c r="D61" s="7" t="n">
        <x:v>9.42866761402544</x:v>
      </x:c>
      <x:c r="E61" s="7" t="n">
        <x:v>13.052758599687678</x:v>
      </x:c>
      <x:c r="F61" s="7" t="n">
        <x:v>11.186680225052461</x:v>
      </x:c>
      <x:c r="G61" s="7" t="n">
        <x:v>20</x:v>
      </x:c>
      <x:c r="H61" s="7" t="n">
        <x:v>77.67429123145915</x:v>
      </x:c>
      <x:c r="I61" s="7" t="n">
        <x:v>9.242604681117287</x:v>
      </x:c>
      <x:c r="J61" s="7" t="n">
        <x:v>5.3319692550265705</x:v>
      </x:c>
      <x:c r="K61" s="7" t="n">
        <x:v>9.242604681117287</x:v>
      </x:c>
      <x:c r="L61" s="7" t="n">
        <x:v>-0.24899239784598556</x:v>
      </x:c>
      <x:c r="M61" s="8" t="n">
        <x:v>0.8429454970384797</x:v>
      </x:c>
      <x:c r="N61" s="8" t="n">
        <x:v>0.9350919533229226</x:v>
      </x:c>
      <x:c r="O61" s="7" t="n">
        <x:v>0</x:v>
      </x:c>
      <x:c r="P61" s="7" t="n">
        <x:v>115.76481925917324</x:v>
      </x:c>
      <x:c r="Q61" s="7" t="n">
        <x:v>115.76481925917324</x:v>
      </x:c>
      <x:c r="R61" s="9" t="str">
        <x:v>p01969</x:v>
      </x:c>
      <x:c r="S61" s="8" t="n">
        <x:v>0.7692307692307693</x:v>
      </x:c>
      <x:c r="T61" s="10" t="n">
        <x:v>26</x:v>
      </x:c>
      <x:c r="U61" s="10" t="n">
        <x:v>409</x:v>
      </x:c>
      <x:c r="V61" s="7" t="n">
        <x:v>15.641760603885892</x:v>
      </x:c>
      <x:c r="W61" s="1" t="str">
        <x:v>original</x:v>
      </x:c>
    </x:row>
    <x:row r="62" ht="25" customHeight="1">
      <x:c r="A62" s="1" t="str">
        <x:v>原决赛圈 直方图梯度提升</x:v>
      </x:c>
      <x:c r="B62" s="1" t="str">
        <x:v>r01_f01</x:v>
      </x:c>
      <x:c r="C62" s="7" t="n">
        <x:v>21.40859382068122</x:v>
      </x:c>
      <x:c r="D62" s="7" t="n">
        <x:v>10.834294214776271</x:v>
      </x:c>
      <x:c r="E62" s="7" t="n">
        <x:v>13.221804656999531</x:v>
      </x:c>
      <x:c r="F62" s="7" t="n">
        <x:v>11.73482293935774</x:v>
      </x:c>
      <x:c r="G62" s="7" t="n">
        <x:v>18.52820804477397</x:v>
      </x:c>
      <x:c r="H62" s="7" t="n">
        <x:v>75.72772367658872</x:v>
      </x:c>
      <x:c r="I62" s="7" t="n">
        <x:v>6.113081562472519</x:v>
      </x:c>
      <x:c r="J62" s="7" t="n">
        <x:v>4.423870623829494</x:v>
      </x:c>
      <x:c r="K62" s="7" t="n">
        <x:v>6.113081562472519</x:v>
      </x:c>
      <x:c r="L62" s="7" t="n">
        <x:v>0.16746470143948594</x:v>
      </x:c>
      <x:c r="M62" s="8" t="n">
        <x:v>0.8058370545811603</x:v>
      </x:c>
      <x:c r="N62" s="8" t="n">
        <x:v>0.9407268218999844</x:v>
      </x:c>
      <x:c r="O62" s="7" t="n">
        <x:v>1.2629472981207073</x:v>
      </x:c>
      <x:c r="P62" s="7" t="n">
        <x:v>120.59730374994979</x:v>
      </x:c>
      <x:c r="Q62" s="7" t="n">
        <x:v>119.33435645182908</x:v>
      </x:c>
      <x:c r="R62" s="9" t="str">
        <x:v>p01024</x:v>
      </x:c>
      <x:c r="S62" s="8" t="n">
        <x:v>0.6363636363636364</x:v>
      </x:c>
      <x:c r="T62" s="10" t="n">
        <x:v>22</x:v>
      </x:c>
      <x:c r="U62" s="10" t="n">
        <x:v>410</x:v>
      </x:c>
      <x:c r="V62" s="7" t="n">
        <x:v>15.899088322963365</x:v>
      </x:c>
      <x:c r="W62" s="1" t="str">
        <x:v>original</x:v>
      </x:c>
    </x:row>
    <x:row r="63" ht="25" customHeight="1">
      <x:c r="A63" s="1" t="str">
        <x:v>原决赛圈 直方图梯度提升</x:v>
      </x:c>
      <x:c r="B63" s="1" t="str">
        <x:v>r01_f02</x:v>
      </x:c>
      <x:c r="C63" s="7" t="n">
        <x:v>14.805261494794927</x:v>
      </x:c>
      <x:c r="D63" s="7" t="n">
        <x:v>9.699551907447262</x:v>
      </x:c>
      <x:c r="E63" s="7" t="n">
        <x:v>13.08573609815531</x:v>
      </x:c>
      <x:c r="F63" s="7" t="n">
        <x:v>11.089699834763122</x:v>
      </x:c>
      <x:c r="G63" s="7" t="n">
        <x:v>13.104455440705978</x:v>
      </x:c>
      <x:c r="H63" s="7" t="n">
        <x:v>61.7847047758666</x:v>
      </x:c>
      <x:c r="I63" s="7" t="n">
        <x:v>8.426983178245182</x:v>
      </x:c>
      <x:c r="J63" s="7" t="n">
        <x:v>5.43752814315619</x:v>
      </x:c>
      <x:c r="K63" s="7" t="n">
        <x:v>8.182415619863663</x:v>
      </x:c>
      <x:c r="L63" s="7" t="n">
        <x:v>-0.1714370126398809</x:v>
      </x:c>
      <x:c r="M63" s="8" t="n">
        <x:v>0.7115037356399275</x:v>
      </x:c>
      <x:c r="N63" s="8" t="n">
        <x:v>0.9361912032718437</x:v>
      </x:c>
      <x:c r="O63" s="7" t="n">
        <x:v>8.114482043116368</x:v>
      </x:c>
      <x:c r="P63" s="7" t="n">
        <x:v>128.233847154479</x:v>
      </x:c>
      <x:c r="Q63" s="7" t="n">
        <x:v>120.11936511136264</x:v>
      </x:c>
      <x:c r="R63" s="9" t="str">
        <x:v>p01879</x:v>
      </x:c>
      <x:c r="S63" s="8" t="n">
        <x:v>0.68</x:v>
      </x:c>
      <x:c r="T63" s="10" t="n">
        <x:v>25</x:v>
      </x:c>
      <x:c r="U63" s="10" t="n">
        <x:v>410</x:v>
      </x:c>
      <x:c r="V63" s="7" t="n">
        <x:v>15.42095297101729</x:v>
      </x:c>
      <x:c r="W63" s="1" t="str">
        <x:v>original</x:v>
      </x:c>
    </x:row>
    <x:row r="64" ht="25" customHeight="1">
      <x:c r="A64" s="1" t="str">
        <x:v>原决赛圈 直方图梯度提升</x:v>
      </x:c>
      <x:c r="B64" s="1" t="str">
        <x:v>r01_f03</x:v>
      </x:c>
      <x:c r="C64" s="7" t="n">
        <x:v>23.887282698560387</x:v>
      </x:c>
      <x:c r="D64" s="7" t="n">
        <x:v>9.871076539001358</x:v>
      </x:c>
      <x:c r="E64" s="7" t="n">
        <x:v>12.905301767517125</x:v>
      </x:c>
      <x:c r="F64" s="7" t="n">
        <x:v>11.389344697233769</x:v>
      </x:c>
      <x:c r="G64" s="7" t="n">
        <x:v>20</x:v>
      </x:c>
      <x:c r="H64" s="7" t="n">
        <x:v>78.05300570231265</x:v>
      </x:c>
      <x:c r="I64" s="7" t="n">
        <x:v>8.250478690851539</x:v>
      </x:c>
      <x:c r="J64" s="7" t="n">
        <x:v>5.033901820123635</x:v>
      </x:c>
      <x:c r="K64" s="7" t="n">
        <x:v>7.751916759396757</x:v>
      </x:c>
      <x:c r="L64" s="7" t="n">
        <x:v>-0.0677684709904451</x:v>
      </x:c>
      <x:c r="M64" s="8" t="n">
        <x:v>0.8412468956937198</x:v>
      </x:c>
      <x:c r="N64" s="8" t="n">
        <x:v>0.9301767255839042</x:v>
      </x:c>
      <x:c r="O64" s="7" t="n">
        <x:v>0</x:v>
      </x:c>
      <x:c r="P64" s="7" t="n">
        <x:v>115.76481925917324</x:v>
      </x:c>
      <x:c r="Q64" s="7" t="n">
        <x:v>115.76481925917324</x:v>
      </x:c>
      <x:c r="R64" s="9" t="str">
        <x:v>p01969</x:v>
      </x:c>
      <x:c r="S64" s="8" t="n">
        <x:v>0.5263157894736842</x:v>
      </x:c>
      <x:c r="T64" s="10" t="n">
        <x:v>19</x:v>
      </x:c>
      <x:c r="U64" s="10" t="n">
        <x:v>410</x:v>
      </x:c>
      <x:c r="V64" s="7" t="n">
        <x:v>15.8787915748967</x:v>
      </x:c>
      <x:c r="W64" s="1" t="str">
        <x:v>original</x:v>
      </x:c>
    </x:row>
    <x:row r="65" ht="25" customHeight="1">
      <x:c r="A65" s="1" t="str">
        <x:v>原决赛圈 直方图梯度提升</x:v>
      </x:c>
      <x:c r="B65" s="1" t="str">
        <x:v>r01_f04</x:v>
      </x:c>
      <x:c r="C65" s="7" t="n">
        <x:v>25.095623888868836</x:v>
      </x:c>
      <x:c r="D65" s="7" t="n">
        <x:v>10.547186880754927</x:v>
      </x:c>
      <x:c r="E65" s="7" t="n">
        <x:v>13.528908575326268</x:v>
      </x:c>
      <x:c r="F65" s="7" t="n">
        <x:v>11.712876173911022</x:v>
      </x:c>
      <x:c r="G65" s="7" t="n">
        <x:v>20</x:v>
      </x:c>
      <x:c r="H65" s="7" t="n">
        <x:v>80.88459551886105</x:v>
      </x:c>
      <x:c r="I65" s="7" t="n">
        <x:v>6.66333499446258</x:v>
      </x:c>
      <x:c r="J65" s="7" t="n">
        <x:v>4.429414596805052</x:v>
      </x:c>
      <x:c r="K65" s="7" t="n">
        <x:v>5.634425184242802</x:v>
      </x:c>
      <x:c r="L65" s="7" t="n">
        <x:v>0.05262689410044515</x:v>
      </x:c>
      <x:c r="M65" s="8" t="n">
        <x:v>0.8585089126981262</x:v>
      </x:c>
      <x:c r="N65" s="8" t="n">
        <x:v>0.9509636191775422</x:v>
      </x:c>
      <x:c r="O65" s="7" t="n">
        <x:v>0</x:v>
      </x:c>
      <x:c r="P65" s="7" t="n">
        <x:v>118.06331726303324</x:v>
      </x:c>
      <x:c r="Q65" s="7" t="n">
        <x:v>118.06331726303324</x:v>
      </x:c>
      <x:c r="R65" s="9" t="str">
        <x:v>p01631</x:v>
      </x:c>
      <x:c r="S65" s="8" t="n">
        <x:v>0.5294117647058824</x:v>
      </x:c>
      <x:c r="T65" s="10" t="n">
        <x:v>17</x:v>
      </x:c>
      <x:c r="U65" s="10" t="n">
        <x:v>409</x:v>
      </x:c>
      <x:c r="V65" s="7" t="n">
        <x:v>15.783154952522695</x:v>
      </x:c>
      <x:c r="W65" s="1" t="str">
        <x:v>original</x:v>
      </x:c>
    </x:row>
    <x:row r="66" ht="25" customHeight="1">
      <x:c r="A66" s="1" t="str">
        <x:v>原决赛圈 直方图梯度提升</x:v>
      </x:c>
      <x:c r="B66" s="1" t="str">
        <x:v>r01_f05</x:v>
      </x:c>
      <x:c r="C66" s="7" t="n">
        <x:v>21.26584566117867</x:v>
      </x:c>
      <x:c r="D66" s="7" t="n">
        <x:v>10.58447052806623</x:v>
      </x:c>
      <x:c r="E66" s="7" t="n">
        <x:v>13.096118288669492</x:v>
      </x:c>
      <x:c r="F66" s="7" t="n">
        <x:v>11.542048497511175</x:v>
      </x:c>
      <x:c r="G66" s="7" t="n">
        <x:v>16.95776460442122</x:v>
      </x:c>
      <x:c r="H66" s="7" t="n">
        <x:v>73.44624757984678</x:v>
      </x:c>
      <x:c r="I66" s="7" t="n">
        <x:v>6.611347199250574</x:v>
      </x:c>
      <x:c r="J66" s="7" t="n">
        <x:v>4.748017580818965</x:v>
      </x:c>
      <x:c r="K66" s="7" t="n">
        <x:v>6.611347199250574</x:v>
      </x:c>
      <x:c r="L66" s="7" t="n">
        <x:v>-0.014373019020230316</x:v>
      </x:c>
      <x:c r="M66" s="8" t="n">
        <x:v>0.8037977951596953</x:v>
      </x:c>
      <x:c r="N66" s="8" t="n">
        <x:v>0.9365372762889831</x:v>
      </x:c>
      <x:c r="O66" s="7" t="n">
        <x:v>2.8431549406959675</x:v>
      </x:c>
      <x:c r="P66" s="7" t="n">
        <x:v>120.42639321752358</x:v>
      </x:c>
      <x:c r="Q66" s="7" t="n">
        <x:v>117.58323827682761</x:v>
      </x:c>
      <x:c r="R66" s="9" t="str">
        <x:v>p01197</x:v>
      </x:c>
      <x:c r="S66" s="8" t="n">
        <x:v>0.85</x:v>
      </x:c>
      <x:c r="T66" s="10" t="n">
        <x:v>20</x:v>
      </x:c>
      <x:c r="U66" s="10" t="n">
        <x:v>409</x:v>
      </x:c>
      <x:c r="V66" s="7" t="n">
        <x:v>15.848067604593389</x:v>
      </x:c>
      <x:c r="W66" s="1" t="str">
        <x:v>original</x:v>
      </x:c>
    </x:row>
    <x:row r="67" ht="25" customHeight="1">
      <x:c r="A67" s="1" t="str">
        <x:v>原决赛圈 直方图梯度提升</x:v>
      </x:c>
      <x:c r="B67" s="1" t="str">
        <x:v>r02_f01</x:v>
      </x:c>
      <x:c r="C67" s="7" t="n">
        <x:v>14.266677353913996</x:v>
      </x:c>
      <x:c r="D67" s="7" t="n">
        <x:v>10.079354291596434</x:v>
      </x:c>
      <x:c r="E67" s="7" t="n">
        <x:v>12.94911496502867</x:v>
      </x:c>
      <x:c r="F67" s="7" t="n">
        <x:v>11.33947042036924</x:v>
      </x:c>
      <x:c r="G67" s="7" t="n">
        <x:v>17.816625337579772</x:v>
      </x:c>
      <x:c r="H67" s="7" t="n">
        <x:v>66.45124236848811</x:v>
      </x:c>
      <x:c r="I67" s="7" t="n">
        <x:v>7.687987475595694</x:v>
      </x:c>
      <x:c r="J67" s="7" t="n">
        <x:v>5.083635804453765</x:v>
      </x:c>
      <x:c r="K67" s="7" t="n">
        <x:v>7.654726966491609</x:v>
      </x:c>
      <x:c r="L67" s="7" t="n">
        <x:v>-0.44755714270651975</x:v>
      </x:c>
      <x:c r="M67" s="8" t="n">
        <x:v>0.7038096764844857</x:v>
      </x:c>
      <x:c r="N67" s="8" t="n">
        <x:v>0.9316371655009557</x:v>
      </x:c>
      <x:c r="O67" s="7" t="n">
        <x:v>1.929861314187292</x:v>
      </x:c>
      <x:c r="P67" s="7" t="n">
        <x:v>122.35625453171087</x:v>
      </x:c>
      <x:c r="Q67" s="7" t="n">
        <x:v>120.42639321752358</x:v>
      </x:c>
      <x:c r="R67" s="9" t="str">
        <x:v>p01754</x:v>
      </x:c>
      <x:c r="S67" s="8" t="n">
        <x:v>0.6111111111111112</x:v>
      </x:c>
      <x:c r="T67" s="10" t="n">
        <x:v>18</x:v>
      </x:c>
      <x:c r="U67" s="10" t="n">
        <x:v>410</x:v>
      </x:c>
      <x:c r="V67" s="7" t="n">
        <x:v>15.747922965383665</x:v>
      </x:c>
      <x:c r="W67" s="1" t="str">
        <x:v>original</x:v>
      </x:c>
    </x:row>
    <x:row r="68" ht="25" customHeight="1">
      <x:c r="A68" s="1" t="str">
        <x:v>原决赛圈 直方图梯度提升</x:v>
      </x:c>
      <x:c r="B68" s="1" t="str">
        <x:v>r02_f02</x:v>
      </x:c>
      <x:c r="C68" s="7" t="n">
        <x:v>21.228166172391497</x:v>
      </x:c>
      <x:c r="D68" s="7" t="n">
        <x:v>10.724360733393402</x:v>
      </x:c>
      <x:c r="E68" s="7" t="n">
        <x:v>13.129621121699767</x:v>
      </x:c>
      <x:c r="F68" s="7" t="n">
        <x:v>11.498937168277115</x:v>
      </x:c>
      <x:c r="G68" s="7" t="n">
        <x:v>20</x:v>
      </x:c>
      <x:c r="H68" s="7" t="n">
        <x:v>76.58108519576177</x:v>
      </x:c>
      <x:c r="I68" s="7" t="n">
        <x:v>6.328308902374195</x:v>
      </x:c>
      <x:c r="J68" s="7" t="n">
        <x:v>4.832815671618361</x:v>
      </x:c>
      <x:c r="K68" s="7" t="n">
        <x:v>4.550340238121243</x:v>
      </x:c>
      <x:c r="L68" s="7" t="n">
        <x:v>-0.24285278036806365</x:v>
      </x:c>
      <x:c r="M68" s="8" t="n">
        <x:v>0.80325951674845</x:v>
      </x:c>
      <x:c r="N68" s="8" t="n">
        <x:v>0.9376540373899922</x:v>
      </x:c>
      <x:c r="O68" s="7" t="n">
        <x:v>0</x:v>
      </x:c>
      <x:c r="P68" s="7" t="n">
        <x:v>118.06331726303324</x:v>
      </x:c>
      <x:c r="Q68" s="7" t="n">
        <x:v>118.06331726303324</x:v>
      </x:c>
      <x:c r="R68" s="9" t="str">
        <x:v>p01631</x:v>
      </x:c>
      <x:c r="S68" s="8" t="n">
        <x:v>0.6</x:v>
      </x:c>
      <x:c r="T68" s="10" t="n">
        <x:v>15</x:v>
      </x:c>
      <x:c r="U68" s="10" t="n">
        <x:v>410</x:v>
      </x:c>
      <x:c r="V68" s="7" t="n">
        <x:v>15.872963846940493</x:v>
      </x:c>
      <x:c r="W68" s="1" t="str">
        <x:v>original</x:v>
      </x:c>
    </x:row>
    <x:row r="69" ht="25" customHeight="1">
      <x:c r="A69" s="1" t="str">
        <x:v>原决赛圈 直方图梯度提升</x:v>
      </x:c>
      <x:c r="B69" s="1" t="str">
        <x:v>r02_f03</x:v>
      </x:c>
      <x:c r="C69" s="7" t="n">
        <x:v>6.8361785630692475</x:v>
      </x:c>
      <x:c r="D69" s="7" t="n">
        <x:v>10.118418518095714</x:v>
      </x:c>
      <x:c r="E69" s="7" t="n">
        <x:v>13.510868974803982</x:v>
      </x:c>
      <x:c r="F69" s="7" t="n">
        <x:v>11.54739279587917</x:v>
      </x:c>
      <x:c r="G69" s="7" t="n">
        <x:v>18.505668449197703</x:v>
      </x:c>
      <x:c r="H69" s="7" t="n">
        <x:v>60.518527301045815</x:v>
      </x:c>
      <x:c r="I69" s="7" t="n">
        <x:v>7.498069895579647</x:v>
      </x:c>
      <x:c r="J69" s="7" t="n">
        <x:v>4.646915911991895</x:v>
      </x:c>
      <x:c r="K69" s="7" t="n">
        <x:v>6.449289343648832</x:v>
      </x:c>
      <x:c r="L69" s="7" t="n">
        <x:v>0.4868598223066153</x:v>
      </x:c>
      <x:c r="M69" s="8" t="n">
        <x:v>0.5976596937581321</x:v>
      </x:c>
      <x:c r="N69" s="8" t="n">
        <x:v>0.9503622991601327</x:v>
      </x:c>
      <x:c r="O69" s="7" t="n">
        <x:v>1.25500012628072</x:v>
      </x:c>
      <x:c r="P69" s="7" t="n">
        <x:v>121.84364757331787</x:v>
      </x:c>
      <x:c r="Q69" s="7" t="n">
        <x:v>120.58864744703715</x:v>
      </x:c>
      <x:c r="R69" s="9" t="str">
        <x:v>p00985</x:v>
      </x:c>
      <x:c r="S69" s="8" t="n">
        <x:v>0.75</x:v>
      </x:c>
      <x:c r="T69" s="10" t="n">
        <x:v>24</x:v>
      </x:c>
      <x:c r="U69" s="10" t="n">
        <x:v>410</x:v>
      </x:c>
      <x:c r="V69" s="7" t="n">
        <x:v>15.5418094653647</x:v>
      </x:c>
      <x:c r="W69" s="1" t="str">
        <x:v>original</x:v>
      </x:c>
    </x:row>
    <x:row r="70" ht="25" customHeight="1">
      <x:c r="A70" s="1" t="str">
        <x:v>原决赛圈 直方图梯度提升</x:v>
      </x:c>
      <x:c r="B70" s="1" t="str">
        <x:v>r02_f04</x:v>
      </x:c>
      <x:c r="C70" s="7" t="n">
        <x:v>27.99565232921601</x:v>
      </x:c>
      <x:c r="D70" s="7" t="n">
        <x:v>10.218266891474773</x:v>
      </x:c>
      <x:c r="E70" s="7" t="n">
        <x:v>12.813075267284816</x:v>
      </x:c>
      <x:c r="F70" s="7" t="n">
        <x:v>11.486875526534305</x:v>
      </x:c>
      <x:c r="G70" s="7" t="n">
        <x:v>16.797602100908577</x:v>
      </x:c>
      <x:c r="H70" s="7" t="n">
        <x:v>79.31147211541848</x:v>
      </x:c>
      <x:c r="I70" s="7" t="n">
        <x:v>7.497820239505529</x:v>
      </x:c>
      <x:c r="J70" s="7" t="n">
        <x:v>4.900253595201053</x:v>
      </x:c>
      <x:c r="K70" s="7" t="n">
        <x:v>7.445162433486374</x:v>
      </x:c>
      <x:c r="L70" s="7" t="n">
        <x:v>0.12160268777381963</x:v>
      </x:c>
      <x:c r="M70" s="8" t="n">
        <x:v>0.8999378904173716</x:v>
      </x:c>
      <x:c r="N70" s="8" t="n">
        <x:v>0.9271025089094939</x:v>
      </x:c>
      <x:c r="O70" s="7" t="n">
        <x:v>3.0546041403431445</x:v>
      </x:c>
      <x:c r="P70" s="7" t="n">
        <x:v>120.63784241717076</x:v>
      </x:c>
      <x:c r="Q70" s="7" t="n">
        <x:v>117.58323827682761</x:v>
      </x:c>
      <x:c r="R70" s="9" t="str">
        <x:v>p01142</x:v>
      </x:c>
      <x:c r="S70" s="8" t="n">
        <x:v>0.65</x:v>
      </x:c>
      <x:c r="T70" s="10" t="n">
        <x:v>20</x:v>
      </x:c>
      <x:c r="U70" s="10" t="n">
        <x:v>409</x:v>
      </x:c>
      <x:c r="V70" s="7" t="n">
        <x:v>16.022376525986868</x:v>
      </x:c>
      <x:c r="W70" s="1" t="str">
        <x:v>original</x:v>
      </x:c>
    </x:row>
    <x:row r="71" ht="25" customHeight="1">
      <x:c r="A71" s="1" t="str">
        <x:v>原决赛圈 直方图梯度提升</x:v>
      </x:c>
      <x:c r="B71" s="1" t="str">
        <x:v>r02_f05</x:v>
      </x:c>
      <x:c r="C71" s="7" t="n">
        <x:v>24.15449042018574</x:v>
      </x:c>
      <x:c r="D71" s="7" t="n">
        <x:v>9.946391697102205</x:v>
      </x:c>
      <x:c r="E71" s="7" t="n">
        <x:v>13.236252096514677</x:v>
      </x:c>
      <x:c r="F71" s="7" t="n">
        <x:v>11.403405090520081</x:v>
      </x:c>
      <x:c r="G71" s="7" t="n">
        <x:v>15.046699290924296</x:v>
      </x:c>
      <x:c r="H71" s="7" t="n">
        <x:v>73.787238595247</x:v>
      </x:c>
      <x:c r="I71" s="7" t="n">
        <x:v>7.947337453316576</x:v>
      </x:c>
      <x:c r="J71" s="7" t="n">
        <x:v>4.93335772224801</x:v>
      </x:c>
      <x:c r="K71" s="7" t="n">
        <x:v>7.860686682739662</x:v>
      </x:c>
      <x:c r="L71" s="7" t="n">
        <x:v>-0.21957931531962033</x:v>
      </x:c>
      <x:c r="M71" s="8" t="n">
        <x:v>0.8450641488597963</x:v>
      </x:c>
      <x:c r="N71" s="8" t="n">
        <x:v>0.9412084032171559</x:v>
      </x:c>
      <x:c r="O71" s="7" t="n">
        <x:v>5.149192018288886</x:v>
      </x:c>
      <x:c r="P71" s="7" t="n">
        <x:v>120.91401127746212</x:v>
      </x:c>
      <x:c r="Q71" s="7" t="n">
        <x:v>115.76481925917324</x:v>
      </x:c>
      <x:c r="R71" s="9" t="str">
        <x:v>p00786</x:v>
      </x:c>
      <x:c r="S71" s="8" t="n">
        <x:v>0.8076923076923077</x:v>
      </x:c>
      <x:c r="T71" s="10" t="n">
        <x:v>26</x:v>
      </x:c>
      <x:c r="U71" s="10" t="n">
        <x:v>409</x:v>
      </x:c>
      <x:c r="V71" s="7" t="n">
        <x:v>15.641760603885892</x:v>
      </x:c>
      <x:c r="W71" s="1" t="str">
        <x:v>original</x:v>
      </x:c>
    </x:row>
    <x:row r="72" ht="25" customHeight="1">
      <x:c r="A72" s="1" t="str">
        <x:v>原决赛圈 低值加权XGBoost</x:v>
      </x:c>
      <x:c r="B72" s="1" t="str">
        <x:v>r01_f01</x:v>
      </x:c>
      <x:c r="C72" s="7" t="n">
        <x:v>22.44793971135691</x:v>
      </x:c>
      <x:c r="D72" s="7" t="n">
        <x:v>10.71230750966082</x:v>
      </x:c>
      <x:c r="E72" s="7" t="n">
        <x:v>13.213304285756625</x:v>
      </x:c>
      <x:c r="F72" s="7" t="n">
        <x:v>11.662503611062817</x:v>
      </x:c>
      <x:c r="G72" s="7" t="n">
        <x:v>18.52820804477397</x:v>
      </x:c>
      <x:c r="H72" s="7" t="n">
        <x:v>76.56426316261114</x:v>
      </x:c>
      <x:c r="I72" s="7" t="n">
        <x:v>6.363745770379575</x:v>
      </x:c>
      <x:c r="J72" s="7" t="n">
        <x:v>4.549893542150669</x:v>
      </x:c>
      <x:c r="K72" s="7" t="n">
        <x:v>5.899507443973024</x:v>
      </x:c>
      <x:c r="L72" s="7" t="n">
        <x:v>0.2724464751198245</x:v>
      </x:c>
      <x:c r="M72" s="8" t="n">
        <x:v>0.8206848530193844</x:v>
      </x:c>
      <x:c r="N72" s="8" t="n">
        <x:v>0.9404434761918875</x:v>
      </x:c>
      <x:c r="O72" s="7" t="n">
        <x:v>1.2629472981207073</x:v>
      </x:c>
      <x:c r="P72" s="7" t="n">
        <x:v>120.59730374994979</x:v>
      </x:c>
      <x:c r="Q72" s="7" t="n">
        <x:v>119.33435645182908</x:v>
      </x:c>
      <x:c r="R72" s="9" t="str">
        <x:v>p01024</x:v>
      </x:c>
      <x:c r="S72" s="8" t="n">
        <x:v>0.6363636363636364</x:v>
      </x:c>
      <x:c r="T72" s="10" t="n">
        <x:v>22</x:v>
      </x:c>
      <x:c r="U72" s="10" t="n">
        <x:v>410</x:v>
      </x:c>
      <x:c r="V72" s="7" t="n">
        <x:v>15.899088322963365</x:v>
      </x:c>
      <x:c r="W72" s="1" t="str">
        <x:v>original</x:v>
      </x:c>
    </x:row>
    <x:row r="73" ht="25" customHeight="1">
      <x:c r="A73" s="1" t="str">
        <x:v>原决赛圈 低值加权XGBoost</x:v>
      </x:c>
      <x:c r="B73" s="1" t="str">
        <x:v>r01_f02</x:v>
      </x:c>
      <x:c r="C73" s="7" t="n">
        <x:v>5.031598468382391</x:v>
      </x:c>
      <x:c r="D73" s="7" t="n">
        <x:v>9.98112686411683</x:v>
      </x:c>
      <x:c r="E73" s="7" t="n">
        <x:v>12.995621232080206</x:v>
      </x:c>
      <x:c r="F73" s="7" t="n">
        <x:v>11.09216588653527</x:v>
      </x:c>
      <x:c r="G73" s="7" t="n">
        <x:v>20</x:v>
      </x:c>
      <x:c r="H73" s="7" t="n">
        <x:v>59.100512451114696</x:v>
      </x:c>
      <x:c r="I73" s="7" t="n">
        <x:v>7.754215295489558</x:v>
      </x:c>
      <x:c r="J73" s="7" t="n">
        <x:v>5.432890807685187</x:v>
      </x:c>
      <x:c r="K73" s="7" t="n">
        <x:v>6.863564803184854</x:v>
      </x:c>
      <x:c r="L73" s="7" t="n">
        <x:v>-0.3423143232868802</x:v>
      </x:c>
      <x:c r="M73" s="8" t="n">
        <x:v>0.5718799781197484</x:v>
      </x:c>
      <x:c r="N73" s="8" t="n">
        <x:v>0.9331873744026735</x:v>
      </x:c>
      <x:c r="O73" s="7" t="n">
        <x:v>0</x:v>
      </x:c>
      <x:c r="P73" s="7" t="n">
        <x:v>120.11936511136264</x:v>
      </x:c>
      <x:c r="Q73" s="7" t="n">
        <x:v>120.11936511136264</x:v>
      </x:c>
      <x:c r="R73" s="9" t="str">
        <x:v>p01269</x:v>
      </x:c>
      <x:c r="S73" s="8" t="n">
        <x:v>0.68</x:v>
      </x:c>
      <x:c r="T73" s="10" t="n">
        <x:v>25</x:v>
      </x:c>
      <x:c r="U73" s="10" t="n">
        <x:v>410</x:v>
      </x:c>
      <x:c r="V73" s="7" t="n">
        <x:v>15.42095297101729</x:v>
      </x:c>
      <x:c r="W73" s="1" t="str">
        <x:v>original</x:v>
      </x:c>
    </x:row>
    <x:row r="74" ht="25" customHeight="1">
      <x:c r="A74" s="1" t="str">
        <x:v>原决赛圈 低值加权XGBoost</x:v>
      </x:c>
      <x:c r="B74" s="1" t="str">
        <x:v>r01_f03</x:v>
      </x:c>
      <x:c r="C74" s="7" t="n">
        <x:v>23.24592591556516</x:v>
      </x:c>
      <x:c r="D74" s="7" t="n">
        <x:v>10.138806056871088</x:v>
      </x:c>
      <x:c r="E74" s="7" t="n">
        <x:v>12.952570261834982</x:v>
      </x:c>
      <x:c r="F74" s="7" t="n">
        <x:v>11.391193744356883</x:v>
      </x:c>
      <x:c r="G74" s="7" t="n">
        <x:v>20</x:v>
      </x:c>
      <x:c r="H74" s="7" t="n">
        <x:v>77.72849597862812</x:v>
      </x:c>
      <x:c r="I74" s="7" t="n">
        <x:v>7.613311172451368</x:v>
      </x:c>
      <x:c r="J74" s="7" t="n">
        <x:v>5.030507219309493</x:v>
      </x:c>
      <x:c r="K74" s="7" t="n">
        <x:v>6.999373184794901</x:v>
      </x:c>
      <x:c r="L74" s="7" t="n">
        <x:v>-0.03600699748719374</x:v>
      </x:c>
      <x:c r="M74" s="8" t="n">
        <x:v>0.8320846559366452</x:v>
      </x:c>
      <x:c r="N74" s="8" t="n">
        <x:v>0.9317523420611661</x:v>
      </x:c>
      <x:c r="O74" s="7" t="n">
        <x:v>0</x:v>
      </x:c>
      <x:c r="P74" s="7" t="n">
        <x:v>115.76481925917324</x:v>
      </x:c>
      <x:c r="Q74" s="7" t="n">
        <x:v>115.76481925917324</x:v>
      </x:c>
      <x:c r="R74" s="9" t="str">
        <x:v>p01969</x:v>
      </x:c>
      <x:c r="S74" s="8" t="n">
        <x:v>0.5263157894736842</x:v>
      </x:c>
      <x:c r="T74" s="10" t="n">
        <x:v>19</x:v>
      </x:c>
      <x:c r="U74" s="10" t="n">
        <x:v>410</x:v>
      </x:c>
      <x:c r="V74" s="7" t="n">
        <x:v>15.8787915748967</x:v>
      </x:c>
      <x:c r="W74" s="1" t="str">
        <x:v>original</x:v>
      </x:c>
    </x:row>
    <x:row r="75" ht="25" customHeight="1">
      <x:c r="A75" s="1" t="str">
        <x:v>原决赛圈 低值加权XGBoost</x:v>
      </x:c>
      <x:c r="B75" s="1" t="str">
        <x:v>r01_f04</x:v>
      </x:c>
      <x:c r="C75" s="7" t="n">
        <x:v>23.413882079026504</x:v>
      </x:c>
      <x:c r="D75" s="7" t="n">
        <x:v>11.123016157569369</x:v>
      </x:c>
      <x:c r="E75" s="7" t="n">
        <x:v>13.57221820629897</x:v>
      </x:c>
      <x:c r="F75" s="7" t="n">
        <x:v>11.719950738537374</x:v>
      </x:c>
      <x:c r="G75" s="7" t="n">
        <x:v>16.135320205473292</x:v>
      </x:c>
      <x:c r="H75" s="7" t="n">
        <x:v>75.96438738690551</x:v>
      </x:c>
      <x:c r="I75" s="7" t="n">
        <x:v>5.5012989162897235</x:v>
      </x:c>
      <x:c r="J75" s="7" t="n">
        <x:v>4.417213595902281</x:v>
      </x:c>
      <x:c r="K75" s="7" t="n">
        <x:v>4.819477404476482</x:v>
      </x:c>
      <x:c r="L75" s="7" t="n">
        <x:v>0.06919466509026215</x:v>
      </x:c>
      <x:c r="M75" s="8" t="n">
        <x:v>0.8344840297003786</x:v>
      </x:c>
      <x:c r="N75" s="8" t="n">
        <x:v>0.952407273543299</x:v>
      </x:c>
      <x:c r="O75" s="7" t="n">
        <x:v>3.7803303102846257</x:v>
      </x:c>
      <x:c r="P75" s="7" t="n">
        <x:v>121.84364757331787</x:v>
      </x:c>
      <x:c r="Q75" s="7" t="n">
        <x:v>118.06331726303324</x:v>
      </x:c>
      <x:c r="R75" s="9" t="str">
        <x:v>p00985</x:v>
      </x:c>
      <x:c r="S75" s="8" t="n">
        <x:v>0.7058823529411765</x:v>
      </x:c>
      <x:c r="T75" s="10" t="n">
        <x:v>17</x:v>
      </x:c>
      <x:c r="U75" s="10" t="n">
        <x:v>409</x:v>
      </x:c>
      <x:c r="V75" s="7" t="n">
        <x:v>15.783154952522695</x:v>
      </x:c>
      <x:c r="W75" s="1" t="str">
        <x:v>original</x:v>
      </x:c>
    </x:row>
    <x:row r="76" ht="25" customHeight="1">
      <x:c r="A76" s="1" t="str">
        <x:v>原决赛圈 低值加权XGBoost</x:v>
      </x:c>
      <x:c r="B76" s="1" t="str">
        <x:v>r01_f05</x:v>
      </x:c>
      <x:c r="C76" s="7" t="n">
        <x:v>10.728003292882015</x:v>
      </x:c>
      <x:c r="D76" s="7" t="n">
        <x:v>11.141084860156012</x:v>
      </x:c>
      <x:c r="E76" s="7" t="n">
        <x:v>12.918715135885606</x:v>
      </x:c>
      <x:c r="F76" s="7" t="n">
        <x:v>11.418356894777862</x:v>
      </x:c>
      <x:c r="G76" s="7" t="n">
        <x:v>16.5266169429172</x:v>
      </x:c>
      <x:c r="H76" s="7" t="n">
        <x:v>62.73277712661869</x:v>
      </x:c>
      <x:c r="I76" s="7" t="n">
        <x:v>5.489263279498982</x:v>
      </x:c>
      <x:c r="J76" s="7" t="n">
        <x:v>4.97112873508501</x:v>
      </x:c>
      <x:c r="K76" s="7" t="n">
        <x:v>5.0744136741211605</x:v>
      </x:c>
      <x:c r="L76" s="7" t="n">
        <x:v>-0.21520895278105093</x:v>
      </x:c>
      <x:c r="M76" s="8" t="n">
        <x:v>0.6532571898983145</x:v>
      </x:c>
      <x:c r="N76" s="8" t="n">
        <x:v>0.9306238378628535</x:v>
      </x:c>
      <x:c r="O76" s="7" t="n">
        <x:v>3.330773000634508</x:v>
      </x:c>
      <x:c r="P76" s="7" t="n">
        <x:v>120.91401127746212</x:v>
      </x:c>
      <x:c r="Q76" s="7" t="n">
        <x:v>117.58323827682761</x:v>
      </x:c>
      <x:c r="R76" s="9" t="str">
        <x:v>p00786</x:v>
      </x:c>
      <x:c r="S76" s="8" t="n">
        <x:v>0.8</x:v>
      </x:c>
      <x:c r="T76" s="10" t="n">
        <x:v>20</x:v>
      </x:c>
      <x:c r="U76" s="10" t="n">
        <x:v>409</x:v>
      </x:c>
      <x:c r="V76" s="7" t="n">
        <x:v>15.848067604593389</x:v>
      </x:c>
      <x:c r="W76" s="1" t="str">
        <x:v>original</x:v>
      </x:c>
    </x:row>
    <x:row r="77" ht="25" customHeight="1">
      <x:c r="A77" s="1" t="str">
        <x:v>原决赛圈 低值加权XGBoost</x:v>
      </x:c>
      <x:c r="B77" s="1" t="str">
        <x:v>r02_f01</x:v>
      </x:c>
      <x:c r="C77" s="7" t="n">
        <x:v>13.419489467037609</x:v>
      </x:c>
      <x:c r="D77" s="7" t="n">
        <x:v>11.004892395078238</x:v>
      </x:c>
      <x:c r="E77" s="7" t="n">
        <x:v>12.900049060886857</x:v>
      </x:c>
      <x:c r="F77" s="7" t="n">
        <x:v>11.32049649297345</x:v>
      </x:c>
      <x:c r="G77" s="7" t="n">
        <x:v>20</x:v>
      </x:c>
      <x:c r="H77" s="7" t="n">
        <x:v>68.64492741597616</x:v>
      </x:c>
      <x:c r="I77" s="7" t="n">
        <x:v>5.716970647424407</x:v>
      </x:c>
      <x:c r="J77" s="7" t="n">
        <x:v>5.11855092358174</x:v>
      </x:c>
      <x:c r="K77" s="7" t="n">
        <x:v>4.642611227591159</x:v>
      </x:c>
      <x:c r="L77" s="7" t="n">
        <x:v>-0.4588768231818904</x:v>
      </x:c>
      <x:c r="M77" s="8" t="n">
        <x:v>0.6917069923862516</x:v>
      </x:c>
      <x:c r="N77" s="8" t="n">
        <x:v>0.9300016353628953</x:v>
      </x:c>
      <x:c r="O77" s="7" t="n">
        <x:v>0</x:v>
      </x:c>
      <x:c r="P77" s="7" t="n">
        <x:v>120.42639321752358</x:v>
      </x:c>
      <x:c r="Q77" s="7" t="n">
        <x:v>120.42639321752358</x:v>
      </x:c>
      <x:c r="R77" s="9" t="str">
        <x:v>p01197</x:v>
      </x:c>
      <x:c r="S77" s="8" t="n">
        <x:v>0.6111111111111112</x:v>
      </x:c>
      <x:c r="T77" s="10" t="n">
        <x:v>18</x:v>
      </x:c>
      <x:c r="U77" s="10" t="n">
        <x:v>410</x:v>
      </x:c>
      <x:c r="V77" s="7" t="n">
        <x:v>15.747922965383665</x:v>
      </x:c>
      <x:c r="W77" s="1" t="str">
        <x:v>original</x:v>
      </x:c>
    </x:row>
    <x:row r="78" ht="25" customHeight="1">
      <x:c r="A78" s="1" t="str">
        <x:v>原决赛圈 低值加权XGBoost</x:v>
      </x:c>
      <x:c r="B78" s="1" t="str">
        <x:v>r02_f02</x:v>
      </x:c>
      <x:c r="C78" s="7" t="n">
        <x:v>23.98094560626899</x:v>
      </x:c>
      <x:c r="D78" s="7" t="n">
        <x:v>10.944506265652054</x:v>
      </x:c>
      <x:c r="E78" s="7" t="n">
        <x:v>13.064843477443624</x:v>
      </x:c>
      <x:c r="F78" s="7" t="n">
        <x:v>11.503508959217335</x:v>
      </x:c>
      <x:c r="G78" s="7" t="n">
        <x:v>20</x:v>
      </x:c>
      <x:c r="H78" s="7" t="n">
        <x:v>79.493804308582</x:v>
      </x:c>
      <x:c r="I78" s="7" t="n">
        <x:v>5.881736815193229</x:v>
      </x:c>
      <x:c r="J78" s="7" t="n">
        <x:v>4.824586661187821</x:v>
      </x:c>
      <x:c r="K78" s="7" t="n">
        <x:v>5.27784470463345</x:v>
      </x:c>
      <x:c r="L78" s="7" t="n">
        <x:v>-0.34601581403964105</x:v>
      </x:c>
      <x:c r="M78" s="8" t="n">
        <x:v>0.8425849372324141</x:v>
      </x:c>
      <x:c r="N78" s="8" t="n">
        <x:v>0.9354947825814541</x:v>
      </x:c>
      <x:c r="O78" s="7" t="n">
        <x:v>0</x:v>
      </x:c>
      <x:c r="P78" s="7" t="n">
        <x:v>118.06331726303324</x:v>
      </x:c>
      <x:c r="Q78" s="7" t="n">
        <x:v>118.06331726303324</x:v>
      </x:c>
      <x:c r="R78" s="9" t="str">
        <x:v>p01631</x:v>
      </x:c>
      <x:c r="S78" s="8" t="n">
        <x:v>0.6</x:v>
      </x:c>
      <x:c r="T78" s="10" t="n">
        <x:v>15</x:v>
      </x:c>
      <x:c r="U78" s="10" t="n">
        <x:v>410</x:v>
      </x:c>
      <x:c r="V78" s="7" t="n">
        <x:v>15.872963846940493</x:v>
      </x:c>
      <x:c r="W78" s="1" t="str">
        <x:v>original</x:v>
      </x:c>
    </x:row>
    <x:row r="79" ht="25" customHeight="1">
      <x:c r="A79" s="1" t="str">
        <x:v>原决赛圈 低值加权XGBoost</x:v>
      </x:c>
      <x:c r="B79" s="1" t="str">
        <x:v>r02_f03</x:v>
      </x:c>
      <x:c r="C79" s="7" t="n">
        <x:v>13.241267744549456</x:v>
      </x:c>
      <x:c r="D79" s="7" t="n">
        <x:v>10.351466551492328</x:v>
      </x:c>
      <x:c r="E79" s="7" t="n">
        <x:v>13.467749576548</x:v>
      </x:c>
      <x:c r="F79" s="7" t="n">
        <x:v>11.486388467519493</x:v>
      </x:c>
      <x:c r="G79" s="7" t="n">
        <x:v>18.505668449197703</x:v>
      </x:c>
      <x:c r="H79" s="7" t="n">
        <x:v>67.05254078930697</x:v>
      </x:c>
      <x:c r="I79" s="7" t="n">
        <x:v>6.979360923468903</x:v>
      </x:c>
      <x:c r="J79" s="7" t="n">
        <x:v>4.754138441994797</x:v>
      </x:c>
      <x:c r="K79" s="7" t="n">
        <x:v>6.139087518090946</x:v>
      </x:c>
      <x:c r="L79" s="7" t="n">
        <x:v>0.4820545528108263</x:v>
      </x:c>
      <x:c r="M79" s="8" t="n">
        <x:v>0.6891609677792779</x:v>
      </x:c>
      <x:c r="N79" s="8" t="n">
        <x:v>0.9489249858849333</x:v>
      </x:c>
      <x:c r="O79" s="7" t="n">
        <x:v>1.25500012628072</x:v>
      </x:c>
      <x:c r="P79" s="7" t="n">
        <x:v>121.84364757331787</x:v>
      </x:c>
      <x:c r="Q79" s="7" t="n">
        <x:v>120.58864744703715</x:v>
      </x:c>
      <x:c r="R79" s="9" t="str">
        <x:v>p00985</x:v>
      </x:c>
      <x:c r="S79" s="8" t="n">
        <x:v>0.6666666666666666</x:v>
      </x:c>
      <x:c r="T79" s="10" t="n">
        <x:v>24</x:v>
      </x:c>
      <x:c r="U79" s="10" t="n">
        <x:v>410</x:v>
      </x:c>
      <x:c r="V79" s="7" t="n">
        <x:v>15.5418094653647</x:v>
      </x:c>
      <x:c r="W79" s="1" t="str">
        <x:v>original</x:v>
      </x:c>
    </x:row>
    <x:row r="80" ht="25" customHeight="1">
      <x:c r="A80" s="1" t="str">
        <x:v>原决赛圈 低值加权XGBoost</x:v>
      </x:c>
      <x:c r="B80" s="1" t="str">
        <x:v>r02_f04</x:v>
      </x:c>
      <x:c r="C80" s="7" t="n">
        <x:v>28.98557620030043</x:v>
      </x:c>
      <x:c r="D80" s="7" t="n">
        <x:v>10.683092576836673</x:v>
      </x:c>
      <x:c r="E80" s="7" t="n">
        <x:v>12.685311976146018</x:v>
      </x:c>
      <x:c r="F80" s="7" t="n">
        <x:v>11.368455605572313</x:v>
      </x:c>
      <x:c r="G80" s="7" t="n">
        <x:v>15.034371040835342</x:v>
      </x:c>
      <x:c r="H80" s="7" t="n">
        <x:v>78.75680739969077</x:v>
      </x:c>
      <x:c r="I80" s="7" t="n">
        <x:v>6.474446951037407</x:v>
      </x:c>
      <x:c r="J80" s="7" t="n">
        <x:v>5.118194913813726</x:v>
      </x:c>
      <x:c r="K80" s="7" t="n">
        <x:v>5.585414278493863</x:v>
      </x:c>
      <x:c r="L80" s="7" t="n">
        <x:v>0.04034623370947915</x:v>
      </x:c>
      <x:c r="M80" s="8" t="n">
        <x:v>0.9140796600042919</x:v>
      </x:c>
      <x:c r="N80" s="8" t="n">
        <x:v>0.9228437325382006</x:v>
      </x:c>
      <x:c r="O80" s="7" t="n">
        <x:v>5.291952463856433</x:v>
      </x:c>
      <x:c r="P80" s="7" t="n">
        <x:v>122.87519074068405</x:v>
      </x:c>
      <x:c r="Q80" s="7" t="n">
        <x:v>117.58323827682761</x:v>
      </x:c>
      <x:c r="R80" s="9" t="str">
        <x:v>p00473</x:v>
      </x:c>
      <x:c r="S80" s="8" t="n">
        <x:v>0.65</x:v>
      </x:c>
      <x:c r="T80" s="10" t="n">
        <x:v>20</x:v>
      </x:c>
      <x:c r="U80" s="10" t="n">
        <x:v>409</x:v>
      </x:c>
      <x:c r="V80" s="7" t="n">
        <x:v>16.022376525986868</x:v>
      </x:c>
      <x:c r="W80" s="1" t="str">
        <x:v>original</x:v>
      </x:c>
    </x:row>
    <x:row r="81" ht="25" customHeight="1">
      <x:c r="A81" s="1" t="str">
        <x:v>原决赛圈 低值加权XGBoost</x:v>
      </x:c>
      <x:c r="B81" s="1" t="str">
        <x:v>r02_f05</x:v>
      </x:c>
      <x:c r="C81" s="7" t="n">
        <x:v>21.259750019624853</x:v>
      </x:c>
      <x:c r="D81" s="7" t="n">
        <x:v>10.560223383871232</x:v>
      </x:c>
      <x:c r="E81" s="7" t="n">
        <x:v>12.79585646240463</x:v>
      </x:c>
      <x:c r="F81" s="7" t="n">
        <x:v>11.095811723235835</x:v>
      </x:c>
      <x:c r="G81" s="7" t="n">
        <x:v>20</x:v>
      </x:c>
      <x:c r="H81" s="7" t="n">
        <x:v>75.71164158913655</x:v>
      </x:c>
      <x:c r="I81" s="7" t="n">
        <x:v>6.576179351497663</x:v>
      </x:c>
      <x:c r="J81" s="7" t="n">
        <x:v>5.5037323902819155</x:v>
      </x:c>
      <x:c r="K81" s="7" t="n">
        <x:v>6.190705137941957</x:v>
      </x:c>
      <x:c r="L81" s="7" t="n">
        <x:v>-0.41357669993210455</x:v>
      </x:c>
      <x:c r="M81" s="8" t="n">
        <x:v>0.8037107145660694</x:v>
      </x:c>
      <x:c r="N81" s="8" t="n">
        <x:v>0.926528548746821</x:v>
      </x:c>
      <x:c r="O81" s="7" t="n">
        <x:v>0</x:v>
      </x:c>
      <x:c r="P81" s="7" t="n">
        <x:v>115.76481925917324</x:v>
      </x:c>
      <x:c r="Q81" s="7" t="n">
        <x:v>115.76481925917324</x:v>
      </x:c>
      <x:c r="R81" s="9" t="str">
        <x:v>p01969</x:v>
      </x:c>
      <x:c r="S81" s="8" t="n">
        <x:v>0.6923076923076923</x:v>
      </x:c>
      <x:c r="T81" s="10" t="n">
        <x:v>26</x:v>
      </x:c>
      <x:c r="U81" s="10" t="n">
        <x:v>409</x:v>
      </x:c>
      <x:c r="V81" s="7" t="n">
        <x:v>15.641760603885892</x:v>
      </x:c>
      <x:c r="W81" s="1" t="str">
        <x:v>original</x:v>
      </x:c>
    </x:row>
    <x:row r="82" ht="25" customHeight="1">
      <x:c r="A82" s="1" t="str">
        <x:v>原决赛圈 极端随机树</x:v>
      </x:c>
      <x:c r="B82" s="1" t="str">
        <x:v>r01_f01</x:v>
      </x:c>
      <x:c r="C82" s="7" t="n">
        <x:v>24.4776622988347</x:v>
      </x:c>
      <x:c r="D82" s="7" t="n">
        <x:v>9.47404986799552</x:v>
      </x:c>
      <x:c r="E82" s="7" t="n">
        <x:v>12.756071595063775</x:v>
      </x:c>
      <x:c r="F82" s="7" t="n">
        <x:v>11.27060331299985</x:v>
      </x:c>
      <x:c r="G82" s="7" t="n">
        <x:v>18.52820804477397</x:v>
      </x:c>
      <x:c r="H82" s="7" t="n">
        <x:v>76.50659511966782</x:v>
      </x:c>
      <x:c r="I82" s="7" t="n">
        <x:v>9.273496597671894</x:v>
      </x:c>
      <x:c r="J82" s="7" t="n">
        <x:v>5.260943506865411</x:v>
      </x:c>
      <x:c r="K82" s="7" t="n">
        <x:v>9.273496597671894</x:v>
      </x:c>
      <x:c r="L82" s="7" t="n">
        <x:v>0.3063565375945523</x:v>
      </x:c>
      <x:c r="M82" s="8" t="n">
        <x:v>0.8496808899833529</x:v>
      </x:c>
      <x:c r="N82" s="8" t="n">
        <x:v>0.9252023865021258</x:v>
      </x:c>
      <x:c r="O82" s="7" t="n">
        <x:v>1.2629472981207073</x:v>
      </x:c>
      <x:c r="P82" s="7" t="n">
        <x:v>120.59730374994979</x:v>
      </x:c>
      <x:c r="Q82" s="7" t="n">
        <x:v>119.33435645182908</x:v>
      </x:c>
      <x:c r="R82" s="9" t="str">
        <x:v>p01024</x:v>
      </x:c>
      <x:c r="S82" s="8" t="n">
        <x:v>0.7272727272727273</x:v>
      </x:c>
      <x:c r="T82" s="10" t="n">
        <x:v>22</x:v>
      </x:c>
      <x:c r="U82" s="10" t="n">
        <x:v>410</x:v>
      </x:c>
      <x:c r="V82" s="7" t="n">
        <x:v>15.899088322963365</x:v>
      </x:c>
      <x:c r="W82" s="1" t="str">
        <x:v>original</x:v>
      </x:c>
    </x:row>
    <x:row r="83" ht="25" customHeight="1">
      <x:c r="A83" s="1" t="str">
        <x:v>原决赛圈 极端随机树</x:v>
      </x:c>
      <x:c r="B83" s="1" t="str">
        <x:v>r01_f02</x:v>
      </x:c>
      <x:c r="C83" s="7" t="n">
        <x:v>5.895026186990966</x:v>
      </x:c>
      <x:c r="D83" s="7" t="n">
        <x:v>9.056787201401665</x:v>
      </x:c>
      <x:c r="E83" s="7" t="n">
        <x:v>12.781338779577522</x:v>
      </x:c>
      <x:c r="F83" s="7" t="n">
        <x:v>10.879721707999035</x:v>
      </x:c>
      <x:c r="G83" s="7" t="n">
        <x:v>13.104455440705978</x:v>
      </x:c>
      <x:c r="H83" s="7" t="n">
        <x:v>51.71732931667517</x:v>
      </x:c>
      <x:c r="I83" s="7" t="n">
        <x:v>10.11948310431196</x:v>
      </x:c>
      <x:c r="J83" s="7" t="n">
        <x:v>5.840095865846933</x:v>
      </x:c>
      <x:c r="K83" s="7" t="n">
        <x:v>9.942200639166776</x:v>
      </x:c>
      <x:c r="L83" s="7" t="n">
        <x:v>-0.4244108213546654</x:v>
      </x:c>
      <x:c r="M83" s="8" t="n">
        <x:v>0.5842146598141567</x:v>
      </x:c>
      <x:c r="N83" s="8" t="n">
        <x:v>0.9260446259859174</x:v>
      </x:c>
      <x:c r="O83" s="7" t="n">
        <x:v>8.114482043116368</x:v>
      </x:c>
      <x:c r="P83" s="7" t="n">
        <x:v>128.233847154479</x:v>
      </x:c>
      <x:c r="Q83" s="7" t="n">
        <x:v>120.11936511136264</x:v>
      </x:c>
      <x:c r="R83" s="9" t="str">
        <x:v>p01879</x:v>
      </x:c>
      <x:c r="S83" s="8" t="n">
        <x:v>0.68</x:v>
      </x:c>
      <x:c r="T83" s="10" t="n">
        <x:v>25</x:v>
      </x:c>
      <x:c r="U83" s="10" t="n">
        <x:v>410</x:v>
      </x:c>
      <x:c r="V83" s="7" t="n">
        <x:v>15.42095297101729</x:v>
      </x:c>
      <x:c r="W83" s="1" t="str">
        <x:v>original</x:v>
      </x:c>
    </x:row>
    <x:row r="84" ht="25" customHeight="1">
      <x:c r="A84" s="1" t="str">
        <x:v>原决赛圈 极端随机树</x:v>
      </x:c>
      <x:c r="B84" s="1" t="str">
        <x:v>r01_f03</x:v>
      </x:c>
      <x:c r="C84" s="7" t="n">
        <x:v>24.255753752073886</x:v>
      </x:c>
      <x:c r="D84" s="7" t="n">
        <x:v>8.259422893788765</x:v>
      </x:c>
      <x:c r="E84" s="7" t="n">
        <x:v>12.800586906388615</x:v>
      </x:c>
      <x:c r="F84" s="7" t="n">
        <x:v>11.123073131743466</x:v>
      </x:c>
      <x:c r="G84" s="7" t="n">
        <x:v>12.062067111393711</x:v>
      </x:c>
      <x:c r="H84" s="7" t="n">
        <x:v>68.50090379538844</x:v>
      </x:c>
      <x:c r="I84" s="7" t="n">
        <x:v>12.958801158436716</x:v>
      </x:c>
      <x:c r="J84" s="7" t="n">
        <x:v>5.534523864315656</x:v>
      </x:c>
      <x:c r="K84" s="7" t="n">
        <x:v>12.958801158436716</x:v>
      </x:c>
      <x:c r="L84" s="7" t="n">
        <x:v>-0.09683523771386364</x:v>
      </x:c>
      <x:c r="M84" s="8" t="n">
        <x:v>0.8465107678867698</x:v>
      </x:c>
      <x:c r="N84" s="8" t="n">
        <x:v>0.9266862302129538</x:v>
      </x:c>
      <x:c r="O84" s="7" t="n">
        <x:v>10.449683351092972</x:v>
      </x:c>
      <x:c r="P84" s="7" t="n">
        <x:v>126.21450261026621</x:v>
      </x:c>
      <x:c r="Q84" s="7" t="n">
        <x:v>115.76481925917324</x:v>
      </x:c>
      <x:c r="R84" s="9" t="str">
        <x:v>p01072</x:v>
      </x:c>
      <x:c r="S84" s="8" t="n">
        <x:v>0.47368421052631576</x:v>
      </x:c>
      <x:c r="T84" s="10" t="n">
        <x:v>19</x:v>
      </x:c>
      <x:c r="U84" s="10" t="n">
        <x:v>410</x:v>
      </x:c>
      <x:c r="V84" s="7" t="n">
        <x:v>15.8787915748967</x:v>
      </x:c>
      <x:c r="W84" s="1" t="str">
        <x:v>original</x:v>
      </x:c>
    </x:row>
    <x:row r="85" ht="25" customHeight="1">
      <x:c r="A85" s="1" t="str">
        <x:v>原决赛圈 极端随机树</x:v>
      </x:c>
      <x:c r="B85" s="1" t="str">
        <x:v>r01_f04</x:v>
      </x:c>
      <x:c r="C85" s="7" t="n">
        <x:v>23.09076565265264</x:v>
      </x:c>
      <x:c r="D85" s="7" t="n">
        <x:v>9.72391613702317</x:v>
      </x:c>
      <x:c r="E85" s="7" t="n">
        <x:v>13.311333075215705</x:v>
      </x:c>
      <x:c r="F85" s="7" t="n">
        <x:v>11.486375968673787</x:v>
      </x:c>
      <x:c r="G85" s="7" t="n">
        <x:v>16.135320205473292</x:v>
      </x:c>
      <x:c r="H85" s="7" t="n">
        <x:v>73.74771103903859</x:v>
      </x:c>
      <x:c r="I85" s="7" t="n">
        <x:v>8.56375641032222</x:v>
      </x:c>
      <x:c r="J85" s="7" t="n">
        <x:v>4.827986884860082</x:v>
      </x:c>
      <x:c r="K85" s="7" t="n">
        <x:v>8.503903178068173</x:v>
      </x:c>
      <x:c r="L85" s="7" t="n">
        <x:v>0.11349268954314845</x:v>
      </x:c>
      <x:c r="M85" s="8" t="n">
        <x:v>0.8298680807521805</x:v>
      </x:c>
      <x:c r="N85" s="8" t="n">
        <x:v>0.9437111025071901</x:v>
      </x:c>
      <x:c r="O85" s="7" t="n">
        <x:v>3.7803303102846257</x:v>
      </x:c>
      <x:c r="P85" s="7" t="n">
        <x:v>121.84364757331787</x:v>
      </x:c>
      <x:c r="Q85" s="7" t="n">
        <x:v>118.06331726303324</x:v>
      </x:c>
      <x:c r="R85" s="9" t="str">
        <x:v>p00985</x:v>
      </x:c>
      <x:c r="S85" s="8" t="n">
        <x:v>0.47058823529411764</x:v>
      </x:c>
      <x:c r="T85" s="10" t="n">
        <x:v>17</x:v>
      </x:c>
      <x:c r="U85" s="10" t="n">
        <x:v>409</x:v>
      </x:c>
      <x:c r="V85" s="7" t="n">
        <x:v>15.783154952522695</x:v>
      </x:c>
      <x:c r="W85" s="1" t="str">
        <x:v>original</x:v>
      </x:c>
    </x:row>
    <x:row r="86" ht="25" customHeight="1">
      <x:c r="A86" s="1" t="str">
        <x:v>原决赛圈 极端随机树</x:v>
      </x:c>
      <x:c r="B86" s="1" t="str">
        <x:v>r01_f05</x:v>
      </x:c>
      <x:c r="C86" s="7" t="n">
        <x:v>18.366994084576998</x:v>
      </x:c>
      <x:c r="D86" s="7" t="n">
        <x:v>9.239851079529238</x:v>
      </x:c>
      <x:c r="E86" s="7" t="n">
        <x:v>12.400806331062173</x:v>
      </x:c>
      <x:c r="F86" s="7" t="n">
        <x:v>11.1641337533974</x:v>
      </x:c>
      <x:c r="G86" s="7" t="n">
        <x:v>16.5266169429172</x:v>
      </x:c>
      <x:c r="H86" s="7" t="n">
        <x:v>67.69840219148301</x:v>
      </x:c>
      <x:c r="I86" s="7" t="n">
        <x:v>9.879729523605834</x:v>
      </x:c>
      <x:c r="J86" s="7" t="n">
        <x:v>5.445211329525353</x:v>
      </x:c>
      <x:c r="K86" s="7" t="n">
        <x:v>9.879729523605834</x:v>
      </x:c>
      <x:c r="L86" s="7" t="n">
        <x:v>-0.1608934973267645</x:v>
      </x:c>
      <x:c r="M86" s="8" t="n">
        <x:v>0.7623856297796714</x:v>
      </x:c>
      <x:c r="N86" s="8" t="n">
        <x:v>0.9133602110354058</x:v>
      </x:c>
      <x:c r="O86" s="7" t="n">
        <x:v>3.330773000634508</x:v>
      </x:c>
      <x:c r="P86" s="7" t="n">
        <x:v>120.91401127746212</x:v>
      </x:c>
      <x:c r="Q86" s="7" t="n">
        <x:v>117.58323827682761</x:v>
      </x:c>
      <x:c r="R86" s="9" t="str">
        <x:v>p00786</x:v>
      </x:c>
      <x:c r="S86" s="8" t="n">
        <x:v>0.75</x:v>
      </x:c>
      <x:c r="T86" s="10" t="n">
        <x:v>20</x:v>
      </x:c>
      <x:c r="U86" s="10" t="n">
        <x:v>409</x:v>
      </x:c>
      <x:c r="V86" s="7" t="n">
        <x:v>15.848067604593389</x:v>
      </x:c>
      <x:c r="W86" s="1" t="str">
        <x:v>original</x:v>
      </x:c>
    </x:row>
    <x:row r="87" ht="25" customHeight="1">
      <x:c r="A87" s="1" t="str">
        <x:v>原决赛圈 极端随机树</x:v>
      </x:c>
      <x:c r="B87" s="1" t="str">
        <x:v>r02_f01</x:v>
      </x:c>
      <x:c r="C87" s="7" t="n">
        <x:v>10.464718209621005</x:v>
      </x:c>
      <x:c r="D87" s="7" t="n">
        <x:v>9.084485646702403</x:v>
      </x:c>
      <x:c r="E87" s="7" t="n">
        <x:v>12.404420577954227</x:v>
      </x:c>
      <x:c r="F87" s="7" t="n">
        <x:v>10.906958846346129</x:v>
      </x:c>
      <x:c r="G87" s="7" t="n">
        <x:v>17.816625337579772</x:v>
      </x:c>
      <x:c r="H87" s="7" t="n">
        <x:v>60.67720861820354</x:v>
      </x:c>
      <x:c r="I87" s="7" t="n">
        <x:v>10.254522705990206</x:v>
      </x:c>
      <x:c r="J87" s="7" t="n">
        <x:v>5.909703858787326</x:v>
      </x:c>
      <x:c r="K87" s="7" t="n">
        <x:v>10.254522705990206</x:v>
      </x:c>
      <x:c r="L87" s="7" t="n">
        <x:v>-0.5442646090317442</x:v>
      </x:c>
      <x:c r="M87" s="8" t="n">
        <x:v>0.6494959744231572</x:v>
      </x:c>
      <x:c r="N87" s="8" t="n">
        <x:v>0.9134806859318075</x:v>
      </x:c>
      <x:c r="O87" s="7" t="n">
        <x:v>1.929861314187292</x:v>
      </x:c>
      <x:c r="P87" s="7" t="n">
        <x:v>122.35625453171087</x:v>
      </x:c>
      <x:c r="Q87" s="7" t="n">
        <x:v>120.42639321752358</x:v>
      </x:c>
      <x:c r="R87" s="9" t="str">
        <x:v>p01754</x:v>
      </x:c>
      <x:c r="S87" s="8" t="n">
        <x:v>0.7222222222222222</x:v>
      </x:c>
      <x:c r="T87" s="10" t="n">
        <x:v>18</x:v>
      </x:c>
      <x:c r="U87" s="10" t="n">
        <x:v>410</x:v>
      </x:c>
      <x:c r="V87" s="7" t="n">
        <x:v>15.747922965383665</x:v>
      </x:c>
      <x:c r="W87" s="1" t="str">
        <x:v>original</x:v>
      </x:c>
    </x:row>
    <x:row r="88" ht="25" customHeight="1">
      <x:c r="A88" s="1" t="str">
        <x:v>原决赛圈 极端随机树</x:v>
      </x:c>
      <x:c r="B88" s="1" t="str">
        <x:v>r02_f02</x:v>
      </x:c>
      <x:c r="C88" s="7" t="n">
        <x:v>27.378963341080734</x:v>
      </x:c>
      <x:c r="D88" s="7" t="n">
        <x:v>9.564869588252575</x:v>
      </x:c>
      <x:c r="E88" s="7" t="n">
        <x:v>12.758507162360845</x:v>
      </x:c>
      <x:c r="F88" s="7" t="n">
        <x:v>11.252042823178957</x:v>
      </x:c>
      <x:c r="G88" s="7" t="n">
        <x:v>12.189581018882173</x:v>
      </x:c>
      <x:c r="H88" s="7" t="n">
        <x:v>73.14396393375529</x:v>
      </x:c>
      <x:c r="I88" s="7" t="n">
        <x:v>9.019634583939455</x:v>
      </x:c>
      <x:c r="J88" s="7" t="n">
        <x:v>5.287145605686019</x:v>
      </x:c>
      <x:c r="K88" s="7" t="n">
        <x:v>8.808123857780792</x:v>
      </x:c>
      <x:c r="L88" s="7" t="n">
        <x:v>-0.32296029085253375</x:v>
      </x:c>
      <x:c r="M88" s="8" t="n">
        <x:v>0.8911280477297248</x:v>
      </x:c>
      <x:c r="N88" s="8" t="n">
        <x:v>0.9252835720786948</x:v>
      </x:c>
      <x:c r="O88" s="7" t="n">
        <x:v>10.170529891445767</x:v>
      </x:c>
      <x:c r="P88" s="7" t="n">
        <x:v>128.233847154479</x:v>
      </x:c>
      <x:c r="Q88" s="7" t="n">
        <x:v>118.06331726303324</x:v>
      </x:c>
      <x:c r="R88" s="9" t="str">
        <x:v>p01879</x:v>
      </x:c>
      <x:c r="S88" s="8" t="n">
        <x:v>0.5333333333333333</x:v>
      </x:c>
      <x:c r="T88" s="10" t="n">
        <x:v>15</x:v>
      </x:c>
      <x:c r="U88" s="10" t="n">
        <x:v>410</x:v>
      </x:c>
      <x:c r="V88" s="7" t="n">
        <x:v>15.872963846940493</x:v>
      </x:c>
      <x:c r="W88" s="1" t="str">
        <x:v>original</x:v>
      </x:c>
    </x:row>
    <x:row r="89" ht="25" customHeight="1">
      <x:c r="A89" s="1" t="str">
        <x:v>原决赛圈 极端随机树</x:v>
      </x:c>
      <x:c r="B89" s="1" t="str">
        <x:v>r02_f03</x:v>
      </x:c>
      <x:c r="C89" s="7" t="n">
        <x:v>12.820766939980437</x:v>
      </x:c>
      <x:c r="D89" s="7" t="n">
        <x:v>9.159793557769586</x:v>
      </x:c>
      <x:c r="E89" s="7" t="n">
        <x:v>13.508157466161345</x:v>
      </x:c>
      <x:c r="F89" s="7" t="n">
        <x:v>11.171488839104837</x:v>
      </x:c>
      <x:c r="G89" s="7" t="n">
        <x:v>18.505668449197703</x:v>
      </x:c>
      <x:c r="H89" s="7" t="n">
        <x:v>65.16587525221391</x:v>
      </x:c>
      <x:c r="I89" s="7" t="n">
        <x:v>9.909325487641494</x:v>
      </x:c>
      <x:c r="J89" s="7" t="n">
        <x:v>5.326236444901885</x:v>
      </x:c>
      <x:c r="K89" s="7" t="n">
        <x:v>9.909325487641494</x:v>
      </x:c>
      <x:c r="L89" s="7" t="n">
        <x:v>0.4434765516087632</x:v>
      </x:c>
      <x:c r="M89" s="8" t="n">
        <x:v>0.683153813428292</x:v>
      </x:c>
      <x:c r="N89" s="8" t="n">
        <x:v>0.9502719155387115</x:v>
      </x:c>
      <x:c r="O89" s="7" t="n">
        <x:v>1.25500012628072</x:v>
      </x:c>
      <x:c r="P89" s="7" t="n">
        <x:v>121.84364757331787</x:v>
      </x:c>
      <x:c r="Q89" s="7" t="n">
        <x:v>120.58864744703715</x:v>
      </x:c>
      <x:c r="R89" s="9" t="str">
        <x:v>p00985</x:v>
      </x:c>
      <x:c r="S89" s="8" t="n">
        <x:v>0.7083333333333334</x:v>
      </x:c>
      <x:c r="T89" s="10" t="n">
        <x:v>24</x:v>
      </x:c>
      <x:c r="U89" s="10" t="n">
        <x:v>410</x:v>
      </x:c>
      <x:c r="V89" s="7" t="n">
        <x:v>15.5418094653647</x:v>
      </x:c>
      <x:c r="W89" s="1" t="str">
        <x:v>original</x:v>
      </x:c>
    </x:row>
    <x:row r="90" ht="25" customHeight="1">
      <x:c r="A90" s="1" t="str">
        <x:v>原决赛圈 极端随机树</x:v>
      </x:c>
      <x:c r="B90" s="1" t="str">
        <x:v>r02_f04</x:v>
      </x:c>
      <x:c r="C90" s="7" t="n">
        <x:v>29.83916559619558</x:v>
      </x:c>
      <x:c r="D90" s="7" t="n">
        <x:v>8.848509215892642</x:v>
      </x:c>
      <x:c r="E90" s="7" t="n">
        <x:v>12.422641412926174</x:v>
      </x:c>
      <x:c r="F90" s="7" t="n">
        <x:v>11.20883063056643</x:v>
      </x:c>
      <x:c r="G90" s="7" t="n">
        <x:v>20</x:v>
      </x:c>
      <x:c r="H90" s="7" t="n">
        <x:v>82.31914685558083</x:v>
      </x:c>
      <x:c r="I90" s="7" t="n">
        <x:v>11.138769156965083</x:v>
      </x:c>
      <x:c r="J90" s="7" t="n">
        <x:v>5.41925782562951</x:v>
      </x:c>
      <x:c r="K90" s="7" t="n">
        <x:v>11.138769156965083</x:v>
      </x:c>
      <x:c r="L90" s="7" t="n">
        <x:v>0.23935496659364747</x:v>
      </x:c>
      <x:c r="M90" s="8" t="n">
        <x:v>0.9262737942313655</x:v>
      </x:c>
      <x:c r="N90" s="8" t="n">
        <x:v>0.9140880470975391</x:v>
      </x:c>
      <x:c r="O90" s="7" t="n">
        <x:v>0</x:v>
      </x:c>
      <x:c r="P90" s="7" t="n">
        <x:v>117.58323827682761</x:v>
      </x:c>
      <x:c r="Q90" s="7" t="n">
        <x:v>117.58323827682761</x:v>
      </x:c>
      <x:c r="R90" s="9" t="str">
        <x:v>p00256</x:v>
      </x:c>
      <x:c r="S90" s="8" t="n">
        <x:v>0.65</x:v>
      </x:c>
      <x:c r="T90" s="10" t="n">
        <x:v>20</x:v>
      </x:c>
      <x:c r="U90" s="10" t="n">
        <x:v>409</x:v>
      </x:c>
      <x:c r="V90" s="7" t="n">
        <x:v>16.022376525986868</x:v>
      </x:c>
      <x:c r="W90" s="1" t="str">
        <x:v>original</x:v>
      </x:c>
    </x:row>
    <x:row r="91" ht="25" customHeight="1">
      <x:c r="A91" s="1" t="str">
        <x:v>原决赛圈 极端随机树</x:v>
      </x:c>
      <x:c r="B91" s="1" t="str">
        <x:v>r02_f05</x:v>
      </x:c>
      <x:c r="C91" s="7" t="n">
        <x:v>16.565497982205468</x:v>
      </x:c>
      <x:c r="D91" s="7" t="n">
        <x:v>9.052020828192626</x:v>
      </x:c>
      <x:c r="E91" s="7" t="n">
        <x:v>12.913806606888622</x:v>
      </x:c>
      <x:c r="F91" s="7" t="n">
        <x:v>11.074947185978154</x:v>
      </x:c>
      <x:c r="G91" s="7" t="n">
        <x:v>15.279450384193789</x:v>
      </x:c>
      <x:c r="H91" s="7" t="n">
        <x:v>64.88572298745866</x:v>
      </x:c>
      <x:c r="I91" s="7" t="n">
        <x:v>10.278021675839053</x:v>
      </x:c>
      <x:c r="J91" s="7" t="n">
        <x:v>5.543569232751687</x:v>
      </x:c>
      <x:c r="K91" s="7" t="n">
        <x:v>10.278021675839053</x:v>
      </x:c>
      <x:c r="L91" s="7" t="n">
        <x:v>-0.22230060205619878</x:v>
      </x:c>
      <x:c r="M91" s="8" t="n">
        <x:v>0.7366499711743638</x:v>
      </x:c>
      <x:c r="N91" s="8" t="n">
        <x:v>0.9304602202296207</x:v>
      </x:c>
      <x:c r="O91" s="7" t="n">
        <x:v>4.832484490776551</x:v>
      </x:c>
      <x:c r="P91" s="7" t="n">
        <x:v>120.59730374994979</x:v>
      </x:c>
      <x:c r="Q91" s="7" t="n">
        <x:v>115.76481925917324</x:v>
      </x:c>
      <x:c r="R91" s="9" t="str">
        <x:v>p01024</x:v>
      </x:c>
      <x:c r="S91" s="8" t="n">
        <x:v>0.8076923076923077</x:v>
      </x:c>
      <x:c r="T91" s="10" t="n">
        <x:v>26</x:v>
      </x:c>
      <x:c r="U91" s="10" t="n">
        <x:v>409</x:v>
      </x:c>
      <x:c r="V91" s="7" t="n">
        <x:v>15.641760603885892</x:v>
      </x:c>
      <x:c r="W91" s="1" t="str">
        <x:v>original</x:v>
      </x:c>
    </x:row>
    <x:row r="92" ht="25" customHeight="1">
      <x:c r="A92" s="1" t="str">
        <x:v>原决赛圈 核岭回归</x:v>
      </x:c>
      <x:c r="B92" s="1" t="str">
        <x:v>r01_f01</x:v>
      </x:c>
      <x:c r="C92" s="7" t="n">
        <x:v>21.90185167417291</x:v>
      </x:c>
      <x:c r="D92" s="7" t="n">
        <x:v>10.229372498516527</x:v>
      </x:c>
      <x:c r="E92" s="7" t="n">
        <x:v>11.967397192270624</x:v>
      </x:c>
      <x:c r="F92" s="7" t="n">
        <x:v>10.645398346269817</x:v>
      </x:c>
      <x:c r="G92" s="7" t="n">
        <x:v>16.357151867773027</x:v>
      </x:c>
      <x:c r="H92" s="7" t="n">
        <x:v>71.10117157900291</x:v>
      </x:c>
      <x:c r="I92" s="7" t="n">
        <x:v>7.414787956254738</x:v>
      </x:c>
      <x:c r="J92" s="7" t="n">
        <x:v>6.503673611071436</x:v>
      </x:c>
      <x:c r="K92" s="7" t="n">
        <x:v>5.555752738495527</x:v>
      </x:c>
      <x:c r="L92" s="7" t="n">
        <x:v>0.22071382005528709</x:v>
      </x:c>
      <x:c r="M92" s="8" t="n">
        <x:v>0.8128835953453273</x:v>
      </x:c>
      <x:c r="N92" s="8" t="n">
        <x:v>0.8989132397423542</x:v>
      </x:c>
      <x:c r="O92" s="7" t="n">
        <x:v>3.540834288854967</x:v>
      </x:c>
      <x:c r="P92" s="7" t="n">
        <x:v>122.87519074068405</x:v>
      </x:c>
      <x:c r="Q92" s="7" t="n">
        <x:v>119.33435645182908</x:v>
      </x:c>
      <x:c r="R92" s="9" t="str">
        <x:v>p00473</x:v>
      </x:c>
      <x:c r="S92" s="8" t="n">
        <x:v>0.6818181818181818</x:v>
      </x:c>
      <x:c r="T92" s="10" t="n">
        <x:v>22</x:v>
      </x:c>
      <x:c r="U92" s="10" t="n">
        <x:v>410</x:v>
      </x:c>
      <x:c r="V92" s="7" t="n">
        <x:v>15.899088322963365</x:v>
      </x:c>
      <x:c r="W92" s="1" t="str">
        <x:v>original</x:v>
      </x:c>
    </x:row>
    <x:row r="93" ht="25" customHeight="1">
      <x:c r="A93" s="1" t="str">
        <x:v>原决赛圈 核岭回归</x:v>
      </x:c>
      <x:c r="B93" s="1" t="str">
        <x:v>r01_f02</x:v>
      </x:c>
      <x:c r="C93" s="7" t="n">
        <x:v>4.790571680858058</x:v>
      </x:c>
      <x:c r="D93" s="7" t="n">
        <x:v>8.343487417691179</x:v>
      </x:c>
      <x:c r="E93" s="7" t="n">
        <x:v>12.092097762001142</x:v>
      </x:c>
      <x:c r="F93" s="7" t="n">
        <x:v>10.29460645814084</x:v>
      </x:c>
      <x:c r="G93" s="7" t="n">
        <x:v>11.334001265169418</x:v>
      </x:c>
      <x:c r="H93" s="7" t="n">
        <x:v>46.854764583860636</x:v>
      </x:c>
      <x:c r="I93" s="7" t="n">
        <x:v>12.302981037055915</x:v>
      </x:c>
      <x:c r="J93" s="7" t="n">
        <x:v>7.04851154963362</x:v>
      </x:c>
      <x:c r="K93" s="7" t="n">
        <x:v>11.018223623298807</x:v>
      </x:c>
      <x:c r="L93" s="7" t="n">
        <x:v>-0.7983751680599387</x:v>
      </x:c>
      <x:c r="M93" s="8" t="n">
        <x:v>0.5684367382979723</x:v>
      </x:c>
      <x:c r="N93" s="8" t="n">
        <x:v>0.903069925400038</x:v>
      </x:c>
      <x:c r="O93" s="7" t="n">
        <x:v>11.790889714067816</x:v>
      </x:c>
      <x:c r="P93" s="7" t="n">
        <x:v>131.91025482543046</x:v>
      </x:c>
      <x:c r="Q93" s="7" t="n">
        <x:v>120.11936511136264</x:v>
      </x:c>
      <x:c r="R93" s="9" t="str">
        <x:v>p01161</x:v>
      </x:c>
      <x:c r="S93" s="8" t="n">
        <x:v>0.68</x:v>
      </x:c>
      <x:c r="T93" s="10" t="n">
        <x:v>25</x:v>
      </x:c>
      <x:c r="U93" s="10" t="n">
        <x:v>410</x:v>
      </x:c>
      <x:c r="V93" s="7" t="n">
        <x:v>15.42095297101729</x:v>
      </x:c>
      <x:c r="W93" s="1" t="str">
        <x:v>original</x:v>
      </x:c>
    </x:row>
    <x:row r="94" ht="25" customHeight="1">
      <x:c r="A94" s="1" t="str">
        <x:v>原决赛圈 核岭回归</x:v>
      </x:c>
      <x:c r="B94" s="1" t="str">
        <x:v>r01_f03</x:v>
      </x:c>
      <x:c r="C94" s="7" t="n">
        <x:v>24.770923048527653</x:v>
      </x:c>
      <x:c r="D94" s="7" t="n">
        <x:v>8.00140872606415</x:v>
      </x:c>
      <x:c r="E94" s="7" t="n">
        <x:v>11.459850683270929</x:v>
      </x:c>
      <x:c r="F94" s="7" t="n">
        <x:v>10.306988519221461</x:v>
      </x:c>
      <x:c r="G94" s="7" t="n">
        <x:v>12.062067111393711</x:v>
      </x:c>
      <x:c r="H94" s="7" t="n">
        <x:v>66.6012380884779</x:v>
      </x:c>
      <x:c r="I94" s="7" t="n">
        <x:v>13.888700847729595</x:v>
      </x:c>
      <x:c r="J94" s="7" t="n">
        <x:v>7.229982940497986</x:v>
      </x:c>
      <x:c r="K94" s="7" t="n">
        <x:v>13.215631636573681</x:v>
      </x:c>
      <x:c r="L94" s="7" t="n">
        <x:v>-0.10790470180806555</x:v>
      </x:c>
      <x:c r="M94" s="8" t="n">
        <x:v>0.8538703292646808</x:v>
      </x:c>
      <x:c r="N94" s="8" t="n">
        <x:v>0.8819950227756976</x:v>
      </x:c>
      <x:c r="O94" s="7" t="n">
        <x:v>10.449683351092972</x:v>
      </x:c>
      <x:c r="P94" s="7" t="n">
        <x:v>126.21450261026621</x:v>
      </x:c>
      <x:c r="Q94" s="7" t="n">
        <x:v>115.76481925917324</x:v>
      </x:c>
      <x:c r="R94" s="9" t="str">
        <x:v>p01072</x:v>
      </x:c>
      <x:c r="S94" s="8" t="n">
        <x:v>0.42105263157894735</x:v>
      </x:c>
      <x:c r="T94" s="10" t="n">
        <x:v>19</x:v>
      </x:c>
      <x:c r="U94" s="10" t="n">
        <x:v>410</x:v>
      </x:c>
      <x:c r="V94" s="7" t="n">
        <x:v>15.8787915748967</x:v>
      </x:c>
      <x:c r="W94" s="1" t="str">
        <x:v>original</x:v>
      </x:c>
    </x:row>
    <x:row r="95" ht="25" customHeight="1">
      <x:c r="A95" s="1" t="str">
        <x:v>原决赛圈 核岭回归</x:v>
      </x:c>
      <x:c r="B95" s="1" t="str">
        <x:v>r01_f04</x:v>
      </x:c>
      <x:c r="C95" s="7" t="n">
        <x:v>29.194311191835876</x:v>
      </x:c>
      <x:c r="D95" s="7" t="n">
        <x:v>9.13370820372207</x:v>
      </x:c>
      <x:c r="E95" s="7" t="n">
        <x:v>12.316046904302198</x:v>
      </x:c>
      <x:c r="F95" s="7" t="n">
        <x:v>10.678768132132827</x:v>
      </x:c>
      <x:c r="G95" s="7" t="n">
        <x:v>20</x:v>
      </x:c>
      <x:c r="H95" s="7" t="n">
        <x:v>81.32283443199297</x:v>
      </x:c>
      <x:c r="I95" s="7" t="n">
        <x:v>10.137021060037428</x:v>
      </x:c>
      <x:c r="J95" s="7" t="n">
        <x:v>6.386754662375539</x:v>
      </x:c>
      <x:c r="K95" s="7" t="n">
        <x:v>8.597201780297272</x:v>
      </x:c>
      <x:c r="L95" s="7" t="n">
        <x:v>0.5073994055733311</x:v>
      </x:c>
      <x:c r="M95" s="8" t="n">
        <x:v>0.9170615884547982</x:v>
      </x:c>
      <x:c r="N95" s="8" t="n">
        <x:v>0.9105348968100733</x:v>
      </x:c>
      <x:c r="O95" s="7" t="n">
        <x:v>0</x:v>
      </x:c>
      <x:c r="P95" s="7" t="n">
        <x:v>118.06331726303324</x:v>
      </x:c>
      <x:c r="Q95" s="7" t="n">
        <x:v>118.06331726303324</x:v>
      </x:c>
      <x:c r="R95" s="9" t="str">
        <x:v>p01631</x:v>
      </x:c>
      <x:c r="S95" s="8" t="n">
        <x:v>0.35294117647058826</x:v>
      </x:c>
      <x:c r="T95" s="10" t="n">
        <x:v>17</x:v>
      </x:c>
      <x:c r="U95" s="10" t="n">
        <x:v>409</x:v>
      </x:c>
      <x:c r="V95" s="7" t="n">
        <x:v>15.783154952522695</x:v>
      </x:c>
      <x:c r="W95" s="1" t="str">
        <x:v>original</x:v>
      </x:c>
    </x:row>
    <x:row r="96" ht="25" customHeight="1">
      <x:c r="A96" s="1" t="str">
        <x:v>原决赛圈 核岭回归</x:v>
      </x:c>
      <x:c r="B96" s="1" t="str">
        <x:v>r01_f05</x:v>
      </x:c>
      <x:c r="C96" s="7" t="n">
        <x:v>21.27292270113842</x:v>
      </x:c>
      <x:c r="D96" s="7" t="n">
        <x:v>9.276581160284124</x:v>
      </x:c>
      <x:c r="E96" s="7" t="n">
        <x:v>12.059311782852706</x:v>
      </x:c>
      <x:c r="F96" s="7" t="n">
        <x:v>10.770016354516814</x:v>
      </x:c>
      <x:c r="G96" s="7" t="n">
        <x:v>16.95776460442122</x:v>
      </x:c>
      <x:c r="H96" s="7" t="n">
        <x:v>70.33659660321328</x:v>
      </x:c>
      <x:c r="I96" s="7" t="n">
        <x:v>9.777861815035589</x:v>
      </x:c>
      <x:c r="J96" s="7" t="n">
        <x:v>6.224416432926529</x:v>
      </x:c>
      <x:c r="K96" s="7" t="n">
        <x:v>7.81712144849142</x:v>
      </x:c>
      <x:c r="L96" s="7" t="n">
        <x:v>-0.4608399989423416</x:v>
      </x:c>
      <x:c r="M96" s="8" t="n">
        <x:v>0.8038988957305488</x:v>
      </x:c>
      <x:c r="N96" s="8" t="n">
        <x:v>0.9019770594284235</x:v>
      </x:c>
      <x:c r="O96" s="7" t="n">
        <x:v>2.8431549406959675</x:v>
      </x:c>
      <x:c r="P96" s="7" t="n">
        <x:v>120.42639321752358</x:v>
      </x:c>
      <x:c r="Q96" s="7" t="n">
        <x:v>117.58323827682761</x:v>
      </x:c>
      <x:c r="R96" s="9" t="str">
        <x:v>p01197</x:v>
      </x:c>
      <x:c r="S96" s="8" t="n">
        <x:v>0.6</x:v>
      </x:c>
      <x:c r="T96" s="10" t="n">
        <x:v>20</x:v>
      </x:c>
      <x:c r="U96" s="10" t="n">
        <x:v>409</x:v>
      </x:c>
      <x:c r="V96" s="7" t="n">
        <x:v>15.848067604593389</x:v>
      </x:c>
      <x:c r="W96" s="1" t="str">
        <x:v>original</x:v>
      </x:c>
    </x:row>
    <x:row r="97" ht="25" customHeight="1">
      <x:c r="A97" s="1" t="str">
        <x:v>原决赛圈 核岭回归</x:v>
      </x:c>
      <x:c r="B97" s="1" t="str">
        <x:v>r02_f01</x:v>
      </x:c>
      <x:c r="C97" s="7" t="n">
        <x:v>15.425515090295738</x:v>
      </x:c>
      <x:c r="D97" s="7" t="n">
        <x:v>8.436957632974881</x:v>
      </x:c>
      <x:c r="E97" s="7" t="n">
        <x:v>11.631694183420718</x:v>
      </x:c>
      <x:c r="F97" s="7" t="n">
        <x:v>10.41583142301433</x:v>
      </x:c>
      <x:c r="G97" s="7" t="n">
        <x:v>20</x:v>
      </x:c>
      <x:c r="H97" s="7" t="n">
        <x:v>65.90999832970567</x:v>
      </x:c>
      <x:c r="I97" s="7" t="n">
        <x:v>12.250184261979992</x:v>
      </x:c>
      <x:c r="J97" s="7" t="n">
        <x:v>6.930904570055989</x:v>
      </x:c>
      <x:c r="K97" s="7" t="n">
        <x:v>11.713991746298555</x:v>
      </x:c>
      <x:c r="L97" s="7" t="n">
        <x:v>-0.6123951343634417</x:v>
      </x:c>
      <x:c r="M97" s="8" t="n">
        <x:v>0.7203645012899391</x:v>
      </x:c>
      <x:c r="N97" s="8" t="n">
        <x:v>0.8877231394473573</x:v>
      </x:c>
      <x:c r="O97" s="7" t="n">
        <x:v>0</x:v>
      </x:c>
      <x:c r="P97" s="7" t="n">
        <x:v>120.42639321752358</x:v>
      </x:c>
      <x:c r="Q97" s="7" t="n">
        <x:v>120.42639321752358</x:v>
      </x:c>
      <x:c r="R97" s="9" t="str">
        <x:v>p01197</x:v>
      </x:c>
      <x:c r="S97" s="8" t="n">
        <x:v>0.4444444444444444</x:v>
      </x:c>
      <x:c r="T97" s="10" t="n">
        <x:v>18</x:v>
      </x:c>
      <x:c r="U97" s="10" t="n">
        <x:v>410</x:v>
      </x:c>
      <x:c r="V97" s="7" t="n">
        <x:v>15.747922965383665</x:v>
      </x:c>
      <x:c r="W97" s="1" t="str">
        <x:v>original</x:v>
      </x:c>
    </x:row>
    <x:row r="98" ht="25" customHeight="1">
      <x:c r="A98" s="1" t="str">
        <x:v>原决赛圈 核岭回归</x:v>
      </x:c>
      <x:c r="B98" s="1" t="str">
        <x:v>r02_f02</x:v>
      </x:c>
      <x:c r="C98" s="7" t="n">
        <x:v>22.811709615350086</x:v>
      </x:c>
      <x:c r="D98" s="7" t="n">
        <x:v>9.06465491832475</x:v>
      </x:c>
      <x:c r="E98" s="7" t="n">
        <x:v>12.243807345221747</x:v>
      </x:c>
      <x:c r="F98" s="7" t="n">
        <x:v>10.730456502690584</x:v>
      </x:c>
      <x:c r="G98" s="7" t="n">
        <x:v>20</x:v>
      </x:c>
      <x:c r="H98" s="7" t="n">
        <x:v>74.85062838158717</x:v>
      </x:c>
      <x:c r="I98" s="7" t="n">
        <x:v>10.393282342176425</x:v>
      </x:c>
      <x:c r="J98" s="7" t="n">
        <x:v>6.31569677941841</x:v>
      </x:c>
      <x:c r="K98" s="7" t="n">
        <x:v>8.820145575517115</x:v>
      </x:c>
      <x:c r="L98" s="7" t="n">
        <x:v>-0.9892069709658898</x:v>
      </x:c>
      <x:c r="M98" s="8" t="n">
        <x:v>0.8258815659335726</x:v>
      </x:c>
      <x:c r="N98" s="8" t="n">
        <x:v>0.9081269115073916</x:v>
      </x:c>
      <x:c r="O98" s="7" t="n">
        <x:v>0</x:v>
      </x:c>
      <x:c r="P98" s="7" t="n">
        <x:v>118.06331726303324</x:v>
      </x:c>
      <x:c r="Q98" s="7" t="n">
        <x:v>118.06331726303324</x:v>
      </x:c>
      <x:c r="R98" s="9" t="str">
        <x:v>p01631</x:v>
      </x:c>
      <x:c r="S98" s="8" t="n">
        <x:v>0.5333333333333333</x:v>
      </x:c>
      <x:c r="T98" s="10" t="n">
        <x:v>15</x:v>
      </x:c>
      <x:c r="U98" s="10" t="n">
        <x:v>410</x:v>
      </x:c>
      <x:c r="V98" s="7" t="n">
        <x:v>15.872963846940493</x:v>
      </x:c>
      <x:c r="W98" s="1" t="str">
        <x:v>original</x:v>
      </x:c>
    </x:row>
    <x:row r="99" ht="25" customHeight="1">
      <x:c r="A99" s="1" t="str">
        <x:v>原决赛圈 核岭回归</x:v>
      </x:c>
      <x:c r="B99" s="1" t="str">
        <x:v>r02_f03</x:v>
      </x:c>
      <x:c r="C99" s="7" t="n">
        <x:v>13.585709151937493</x:v>
      </x:c>
      <x:c r="D99" s="7" t="n">
        <x:v>9.276211248055619</x:v>
      </x:c>
      <x:c r="E99" s="7" t="n">
        <x:v>12.624093540448879</x:v>
      </x:c>
      <x:c r="F99" s="7" t="n">
        <x:v>10.639799315067755</x:v>
      </x:c>
      <x:c r="G99" s="7" t="n">
        <x:v>11.570984849588111</x:v>
      </x:c>
      <x:c r="H99" s="7" t="n">
        <x:v>57.696798105097855</x:v>
      </x:c>
      <x:c r="I99" s="7" t="n">
        <x:v>9.589910344200455</x:v>
      </x:c>
      <x:c r="J99" s="7" t="n">
        <x:v>6.36904947821735</x:v>
      </x:c>
      <x:c r="K99" s="7" t="n">
        <x:v>7.209925605226697</x:v>
      </x:c>
      <x:c r="L99" s="7" t="n">
        <x:v>0.8119842653496343</x:v>
      </x:c>
      <x:c r="M99" s="8" t="n">
        <x:v>0.6940815593133928</x:v>
      </x:c>
      <x:c r="N99" s="8" t="n">
        <x:v>0.9208031180149626</x:v>
      </x:c>
      <x:c r="O99" s="7" t="n">
        <x:v>11.32160737839331</x:v>
      </x:c>
      <x:c r="P99" s="7" t="n">
        <x:v>131.91025482543046</x:v>
      </x:c>
      <x:c r="Q99" s="7" t="n">
        <x:v>120.58864744703715</x:v>
      </x:c>
      <x:c r="R99" s="9" t="str">
        <x:v>p01161</x:v>
      </x:c>
      <x:c r="S99" s="8" t="n">
        <x:v>0.5416666666666666</x:v>
      </x:c>
      <x:c r="T99" s="10" t="n">
        <x:v>24</x:v>
      </x:c>
      <x:c r="U99" s="10" t="n">
        <x:v>410</x:v>
      </x:c>
      <x:c r="V99" s="7" t="n">
        <x:v>15.5418094653647</x:v>
      </x:c>
      <x:c r="W99" s="1" t="str">
        <x:v>original</x:v>
      </x:c>
    </x:row>
    <x:row r="100" ht="25" customHeight="1">
      <x:c r="A100" s="1" t="str">
        <x:v>原决赛圈 核岭回归</x:v>
      </x:c>
      <x:c r="B100" s="1" t="str">
        <x:v>r02_f04</x:v>
      </x:c>
      <x:c r="C100" s="7" t="n">
        <x:v>22.93619436678514</x:v>
      </x:c>
      <x:c r="D100" s="7" t="n">
        <x:v>9.37384746892754</x:v>
      </x:c>
      <x:c r="E100" s="7" t="n">
        <x:v>11.659307706493717</x:v>
      </x:c>
      <x:c r="F100" s="7" t="n">
        <x:v>10.603876912303813</x:v>
      </x:c>
      <x:c r="G100" s="7" t="n">
        <x:v>15.034371040835342</x:v>
      </x:c>
      <x:c r="H100" s="7" t="n">
        <x:v>69.60759749534556</x:v>
      </x:c>
      <x:c r="I100" s="7" t="n">
        <x:v>9.616577882698405</x:v>
      </x:c>
      <x:c r="J100" s="7" t="n">
        <x:v>6.6425082022523405</x:v>
      </x:c>
      <x:c r="K100" s="7" t="n">
        <x:v>8.459076388961964</x:v>
      </x:c>
      <x:c r="L100" s="7" t="n">
        <x:v>0.3503445834953167</x:v>
      </x:c>
      <x:c r="M100" s="8" t="n">
        <x:v>0.827659919525502</x:v>
      </x:c>
      <x:c r="N100" s="8" t="n">
        <x:v>0.8886435902164572</x:v>
      </x:c>
      <x:c r="O100" s="7" t="n">
        <x:v>5.291952463856433</x:v>
      </x:c>
      <x:c r="P100" s="7" t="n">
        <x:v>122.87519074068405</x:v>
      </x:c>
      <x:c r="Q100" s="7" t="n">
        <x:v>117.58323827682761</x:v>
      </x:c>
      <x:c r="R100" s="9" t="str">
        <x:v>p00473</x:v>
      </x:c>
      <x:c r="S100" s="8" t="n">
        <x:v>0.4</x:v>
      </x:c>
      <x:c r="T100" s="10" t="n">
        <x:v>20</x:v>
      </x:c>
      <x:c r="U100" s="10" t="n">
        <x:v>409</x:v>
      </x:c>
      <x:c r="V100" s="7" t="n">
        <x:v>16.022376525986868</x:v>
      </x:c>
      <x:c r="W100" s="1" t="str">
        <x:v>original</x:v>
      </x:c>
    </x:row>
    <x:row r="101" ht="25" customHeight="1">
      <x:c r="A101" s="1" t="str">
        <x:v>原决赛圈 核岭回归</x:v>
      </x:c>
      <x:c r="B101" s="1" t="str">
        <x:v>r02_f05</x:v>
      </x:c>
      <x:c r="C101" s="7" t="n">
        <x:v>19.155677187242006</x:v>
      </x:c>
      <x:c r="D101" s="7" t="n">
        <x:v>8.975852713244517</x:v>
      </x:c>
      <x:c r="E101" s="7" t="n">
        <x:v>12.145816159889337</x:v>
      </x:c>
      <x:c r="F101" s="7" t="n">
        <x:v>10.503201576735375</x:v>
      </x:c>
      <x:c r="G101" s="7" t="n">
        <x:v>15.046699290924296</x:v>
      </x:c>
      <x:c r="H101" s="7" t="n">
        <x:v>65.82724692803554</x:v>
      </x:c>
      <x:c r="I101" s="7" t="n">
        <x:v>10.497974143775487</x:v>
      </x:c>
      <x:c r="J101" s="7" t="n">
        <x:v>6.696800390505252</x:v>
      </x:c>
      <x:c r="K101" s="7" t="n">
        <x:v>9.597844683531028</x:v>
      </x:c>
      <x:c r="L101" s="7" t="n">
        <x:v>-0.24936157570621678</x:v>
      </x:c>
      <x:c r="M101" s="8" t="n">
        <x:v>0.7736525312463144</x:v>
      </x:c>
      <x:c r="N101" s="8" t="n">
        <x:v>0.9048605386629779</x:v>
      </x:c>
      <x:c r="O101" s="7" t="n">
        <x:v>5.149192018288886</x:v>
      </x:c>
      <x:c r="P101" s="7" t="n">
        <x:v>120.91401127746212</x:v>
      </x:c>
      <x:c r="Q101" s="7" t="n">
        <x:v>115.76481925917324</x:v>
      </x:c>
      <x:c r="R101" s="9" t="str">
        <x:v>p00786</x:v>
      </x:c>
      <x:c r="S101" s="8" t="n">
        <x:v>0.6923076923076923</x:v>
      </x:c>
      <x:c r="T101" s="10" t="n">
        <x:v>26</x:v>
      </x:c>
      <x:c r="U101" s="10" t="n">
        <x:v>409</x:v>
      </x:c>
      <x:c r="V101" s="7" t="n">
        <x:v>15.641760603885892</x:v>
      </x:c>
      <x:c r="W101" s="1" t="str">
        <x:v>original</x:v>
      </x:c>
    </x:row>
    <x:row r="102" ht="25" customHeight="1">
      <x:c r="A102" s="1" t="str">
        <x:v>原决赛圈 二次岭回归</x:v>
      </x:c>
      <x:c r="B102" s="1" t="str">
        <x:v>r01_f01</x:v>
      </x:c>
      <x:c r="C102" s="7" t="n">
        <x:v>22.781700558949794</x:v>
      </x:c>
      <x:c r="D102" s="7" t="n">
        <x:v>8.568591038128497</x:v>
      </x:c>
      <x:c r="E102" s="7" t="n">
        <x:v>11.80273847842751</x:v>
      </x:c>
      <x:c r="F102" s="7" t="n">
        <x:v>10.558241842172576</x:v>
      </x:c>
      <x:c r="G102" s="7" t="n">
        <x:v>16.357151867773027</x:v>
      </x:c>
      <x:c r="H102" s="7" t="n">
        <x:v>70.0684237854514</x:v>
      </x:c>
      <x:c r="I102" s="7" t="n">
        <x:v>11.93353010674516</x:v>
      </x:c>
      <x:c r="J102" s="7" t="n">
        <x:v>6.688604629083751</x:v>
      </x:c>
      <x:c r="K102" s="7" t="n">
        <x:v>11.93353010674516</x:v>
      </x:c>
      <x:c r="L102" s="7" t="n">
        <x:v>0.3206708021392188</x:v>
      </x:c>
      <x:c r="M102" s="8" t="n">
        <x:v>0.8254528651278542</x:v>
      </x:c>
      <x:c r="N102" s="8" t="n">
        <x:v>0.8934246159475837</x:v>
      </x:c>
      <x:c r="O102" s="7" t="n">
        <x:v>3.540834288854967</x:v>
      </x:c>
      <x:c r="P102" s="7" t="n">
        <x:v>122.87519074068405</x:v>
      </x:c>
      <x:c r="Q102" s="7" t="n">
        <x:v>119.33435645182908</x:v>
      </x:c>
      <x:c r="R102" s="9" t="str">
        <x:v>p00473</x:v>
      </x:c>
      <x:c r="S102" s="8" t="n">
        <x:v>0.5909090909090909</x:v>
      </x:c>
      <x:c r="T102" s="10" t="n">
        <x:v>22</x:v>
      </x:c>
      <x:c r="U102" s="10" t="n">
        <x:v>410</x:v>
      </x:c>
      <x:c r="V102" s="7" t="n">
        <x:v>15.899088322963365</x:v>
      </x:c>
      <x:c r="W102" s="1" t="str">
        <x:v>original</x:v>
      </x:c>
    </x:row>
    <x:row r="103" ht="25" customHeight="1">
      <x:c r="A103" s="1" t="str">
        <x:v>原决赛圈 二次岭回归</x:v>
      </x:c>
      <x:c r="B103" s="1" t="str">
        <x:v>r01_f02</x:v>
      </x:c>
      <x:c r="C103" s="7" t="n">
        <x:v>4.26046574474058</x:v>
      </x:c>
      <x:c r="D103" s="7" t="n">
        <x:v>7.990597776746809</x:v>
      </x:c>
      <x:c r="E103" s="7" t="n">
        <x:v>12.21466893235729</x:v>
      </x:c>
      <x:c r="F103" s="7" t="n">
        <x:v>10.288182006514717</x:v>
      </x:c>
      <x:c r="G103" s="7" t="n">
        <x:v>11.334001265169418</x:v>
      </x:c>
      <x:c r="H103" s="7" t="n">
        <x:v>46.087915725528816</x:v>
      </x:c>
      <x:c r="I103" s="7" t="n">
        <x:v>13.527356157794062</x:v>
      </x:c>
      <x:c r="J103" s="7" t="n">
        <x:v>7.062542598830301</x:v>
      </x:c>
      <x:c r="K103" s="7" t="n">
        <x:v>11.876582540926966</x:v>
      </x:c>
      <x:c r="L103" s="7" t="n">
        <x:v>-0.7141716428671427</x:v>
      </x:c>
      <x:c r="M103" s="8" t="n">
        <x:v>0.5608637963534369</x:v>
      </x:c>
      <x:c r="N103" s="8" t="n">
        <x:v>0.9071556310785763</x:v>
      </x:c>
      <x:c r="O103" s="7" t="n">
        <x:v>11.790889714067816</x:v>
      </x:c>
      <x:c r="P103" s="7" t="n">
        <x:v>131.91025482543046</x:v>
      </x:c>
      <x:c r="Q103" s="7" t="n">
        <x:v>120.11936511136264</x:v>
      </x:c>
      <x:c r="R103" s="9" t="str">
        <x:v>p01161</x:v>
      </x:c>
      <x:c r="S103" s="8" t="n">
        <x:v>0.56</x:v>
      </x:c>
      <x:c r="T103" s="10" t="n">
        <x:v>25</x:v>
      </x:c>
      <x:c r="U103" s="10" t="n">
        <x:v>410</x:v>
      </x:c>
      <x:c r="V103" s="7" t="n">
        <x:v>15.42095297101729</x:v>
      </x:c>
      <x:c r="W103" s="1" t="str">
        <x:v>original</x:v>
      </x:c>
    </x:row>
    <x:row r="104" ht="25" customHeight="1">
      <x:c r="A104" s="1" t="str">
        <x:v>原决赛圈 二次岭回归</x:v>
      </x:c>
      <x:c r="B104" s="1" t="str">
        <x:v>r01_f03</x:v>
      </x:c>
      <x:c r="C104" s="7" t="n">
        <x:v>22.879626958596955</x:v>
      </x:c>
      <x:c r="D104" s="7" t="n">
        <x:v>7.735377859712223</x:v>
      </x:c>
      <x:c r="E104" s="7" t="n">
        <x:v>11.53419814337646</x:v>
      </x:c>
      <x:c r="F104" s="7" t="n">
        <x:v>10.239958081684577</x:v>
      </x:c>
      <x:c r="G104" s="7" t="n">
        <x:v>12.062067111393711</x:v>
      </x:c>
      <x:c r="H104" s="7" t="n">
        <x:v>64.45122815476392</x:v>
      </x:c>
      <x:c r="I104" s="7" t="n">
        <x:v>14.91244809601338</x:v>
      </x:c>
      <x:c r="J104" s="7" t="n">
        <x:v>7.381252238121249</x:v>
      </x:c>
      <x:c r="K104" s="7" t="n">
        <x:v>14.420465720413691</x:v>
      </x:c>
      <x:c r="L104" s="7" t="n">
        <x:v>0.24020363510924078</x:v>
      </x:c>
      <x:c r="M104" s="8" t="n">
        <x:v>0.8268518136942422</x:v>
      </x:c>
      <x:c r="N104" s="8" t="n">
        <x:v>0.8844732714458821</x:v>
      </x:c>
      <x:c r="O104" s="7" t="n">
        <x:v>10.449683351092972</x:v>
      </x:c>
      <x:c r="P104" s="7" t="n">
        <x:v>126.21450261026621</x:v>
      </x:c>
      <x:c r="Q104" s="7" t="n">
        <x:v>115.76481925917324</x:v>
      </x:c>
      <x:c r="R104" s="9" t="str">
        <x:v>p01072</x:v>
      </x:c>
      <x:c r="S104" s="8" t="n">
        <x:v>0.47368421052631576</x:v>
      </x:c>
      <x:c r="T104" s="10" t="n">
        <x:v>19</x:v>
      </x:c>
      <x:c r="U104" s="10" t="n">
        <x:v>410</x:v>
      </x:c>
      <x:c r="V104" s="7" t="n">
        <x:v>15.8787915748967</x:v>
      </x:c>
      <x:c r="W104" s="1" t="str">
        <x:v>original</x:v>
      </x:c>
    </x:row>
    <x:row r="105" ht="25" customHeight="1">
      <x:c r="A105" s="1" t="str">
        <x:v>原决赛圈 二次岭回归</x:v>
      </x:c>
      <x:c r="B105" s="1" t="str">
        <x:v>r01_f04</x:v>
      </x:c>
      <x:c r="C105" s="7" t="n">
        <x:v>23.348407754894374</x:v>
      </x:c>
      <x:c r="D105" s="7" t="n">
        <x:v>7.85084134090036</x:v>
      </x:c>
      <x:c r="E105" s="7" t="n">
        <x:v>12.075981587815521</x:v>
      </x:c>
      <x:c r="F105" s="7" t="n">
        <x:v>10.46739318759576</x:v>
      </x:c>
      <x:c r="G105" s="7" t="n">
        <x:v>20</x:v>
      </x:c>
      <x:c r="H105" s="7" t="n">
        <x:v>73.74262387120602</x:v>
      </x:c>
      <x:c r="I105" s="7" t="n">
        <x:v>14.372507862169911</x:v>
      </x:c>
      <x:c r="J105" s="7" t="n">
        <x:v>6.834446206130115</x:v>
      </x:c>
      <x:c r="K105" s="7" t="n">
        <x:v>11.84715168944893</x:v>
      </x:c>
      <x:c r="L105" s="7" t="n">
        <x:v>0.12240602601503882</x:v>
      </x:c>
      <x:c r="M105" s="8" t="n">
        <x:v>0.8335486822127768</x:v>
      </x:c>
      <x:c r="N105" s="8" t="n">
        <x:v>0.9025327195938507</x:v>
      </x:c>
      <x:c r="O105" s="7" t="n">
        <x:v>0</x:v>
      </x:c>
      <x:c r="P105" s="7" t="n">
        <x:v>118.06331726303324</x:v>
      </x:c>
      <x:c r="Q105" s="7" t="n">
        <x:v>118.06331726303324</x:v>
      </x:c>
      <x:c r="R105" s="9" t="str">
        <x:v>p01631</x:v>
      </x:c>
      <x:c r="S105" s="8" t="n">
        <x:v>0.29411764705882354</x:v>
      </x:c>
      <x:c r="T105" s="10" t="n">
        <x:v>17</x:v>
      </x:c>
      <x:c r="U105" s="10" t="n">
        <x:v>409</x:v>
      </x:c>
      <x:c r="V105" s="7" t="n">
        <x:v>15.783154952522695</x:v>
      </x:c>
      <x:c r="W105" s="1" t="str">
        <x:v>original</x:v>
      </x:c>
    </x:row>
    <x:row r="106" ht="25" customHeight="1">
      <x:c r="A106" s="1" t="str">
        <x:v>原决赛圈 二次岭回归</x:v>
      </x:c>
      <x:c r="B106" s="1" t="str">
        <x:v>r01_f05</x:v>
      </x:c>
      <x:c r="C106" s="7" t="n">
        <x:v>19.828686954729736</x:v>
      </x:c>
      <x:c r="D106" s="7" t="n">
        <x:v>8.97498352935387</x:v>
      </x:c>
      <x:c r="E106" s="7" t="n">
        <x:v>11.933196600275727</x:v>
      </x:c>
      <x:c r="F106" s="7" t="n">
        <x:v>10.567709468670214</x:v>
      </x:c>
      <x:c r="G106" s="7" t="n">
        <x:v>16.95776460442122</x:v>
      </x:c>
      <x:c r="H106" s="7" t="n">
        <x:v>68.26234115745076</x:v>
      </x:c>
      <x:c r="I106" s="7" t="n">
        <x:v>10.639002069841426</x:v>
      </x:c>
      <x:c r="J106" s="7" t="n">
        <x:v>6.646969259702088</x:v>
      </x:c>
      <x:c r="K106" s="7" t="n">
        <x:v>7.976660835346881</x:v>
      </x:c>
      <x:c r="L106" s="7" t="n">
        <x:v>-0.772529696390734</x:v>
      </x:c>
      <x:c r="M106" s="8" t="n">
        <x:v>0.7832669564961391</x:v>
      </x:c>
      <x:c r="N106" s="8" t="n">
        <x:v>0.8977732200091909</x:v>
      </x:c>
      <x:c r="O106" s="7" t="n">
        <x:v>2.8431549406959675</x:v>
      </x:c>
      <x:c r="P106" s="7" t="n">
        <x:v>120.42639321752358</x:v>
      </x:c>
      <x:c r="Q106" s="7" t="n">
        <x:v>117.58323827682761</x:v>
      </x:c>
      <x:c r="R106" s="9" t="str">
        <x:v>p01197</x:v>
      </x:c>
      <x:c r="S106" s="8" t="n">
        <x:v>0.5</x:v>
      </x:c>
      <x:c r="T106" s="10" t="n">
        <x:v>20</x:v>
      </x:c>
      <x:c r="U106" s="10" t="n">
        <x:v>409</x:v>
      </x:c>
      <x:c r="V106" s="7" t="n">
        <x:v>15.848067604593389</x:v>
      </x:c>
      <x:c r="W106" s="1" t="str">
        <x:v>original</x:v>
      </x:c>
    </x:row>
    <x:row r="107" ht="25" customHeight="1">
      <x:c r="A107" s="1" t="str">
        <x:v>原决赛圈 二次岭回归</x:v>
      </x:c>
      <x:c r="B107" s="1" t="str">
        <x:v>r02_f01</x:v>
      </x:c>
      <x:c r="C107" s="7" t="n">
        <x:v>24.243114776903443</x:v>
      </x:c>
      <x:c r="D107" s="7" t="n">
        <x:v>8.436519214634991</x:v>
      </x:c>
      <x:c r="E107" s="7" t="n">
        <x:v>11.95316405033693</x:v>
      </x:c>
      <x:c r="F107" s="7" t="n">
        <x:v>10.53532698127432</x:v>
      </x:c>
      <x:c r="G107" s="7" t="n">
        <x:v>20</x:v>
      </x:c>
      <x:c r="H107" s="7" t="n">
        <x:v>75.16812502314968</x:v>
      </x:c>
      <x:c r="I107" s="7" t="n">
        <x:v>12.251639232137517</x:v>
      </x:c>
      <x:c r="J107" s="7" t="n">
        <x:v>6.673672956661717</x:v>
      </x:c>
      <x:c r="K107" s="7" t="n">
        <x:v>10.475654280353956</x:v>
      </x:c>
      <x:c r="L107" s="7" t="n">
        <x:v>-0.15223767474924388</x:v>
      </x:c>
      <x:c r="M107" s="8" t="n">
        <x:v>0.8463302110986206</x:v>
      </x:c>
      <x:c r="N107" s="8" t="n">
        <x:v>0.8984388016778977</x:v>
      </x:c>
      <x:c r="O107" s="7" t="n">
        <x:v>0</x:v>
      </x:c>
      <x:c r="P107" s="7" t="n">
        <x:v>120.42639321752358</x:v>
      </x:c>
      <x:c r="Q107" s="7" t="n">
        <x:v>120.42639321752358</x:v>
      </x:c>
      <x:c r="R107" s="9" t="str">
        <x:v>p01197</x:v>
      </x:c>
      <x:c r="S107" s="8" t="n">
        <x:v>0.5</x:v>
      </x:c>
      <x:c r="T107" s="10" t="n">
        <x:v>18</x:v>
      </x:c>
      <x:c r="U107" s="10" t="n">
        <x:v>410</x:v>
      </x:c>
      <x:c r="V107" s="7" t="n">
        <x:v>15.747922965383665</x:v>
      </x:c>
      <x:c r="W107" s="1" t="str">
        <x:v>original</x:v>
      </x:c>
    </x:row>
    <x:row r="108" ht="25" customHeight="1">
      <x:c r="A108" s="1" t="str">
        <x:v>原决赛圈 二次岭回归</x:v>
      </x:c>
      <x:c r="B108" s="1" t="str">
        <x:v>r02_f02</x:v>
      </x:c>
      <x:c r="C108" s="7" t="n">
        <x:v>19.905619071692016</x:v>
      </x:c>
      <x:c r="D108" s="7" t="n">
        <x:v>8.715717073797848</x:v>
      </x:c>
      <x:c r="E108" s="7" t="n">
        <x:v>12.204199350711983</x:v>
      </x:c>
      <x:c r="F108" s="7" t="n">
        <x:v>10.63112654104494</x:v>
      </x:c>
      <x:c r="G108" s="7" t="n">
        <x:v>20</x:v>
      </x:c>
      <x:c r="H108" s="7" t="n">
        <x:v>71.45666203724679</x:v>
      </x:c>
      <x:c r="I108" s="7" t="n">
        <x:v>11.444863898970775</x:v>
      </x:c>
      <x:c r="J108" s="7" t="n">
        <x:v>6.5230124200022335</x:v>
      </x:c>
      <x:c r="K108" s="7" t="n">
        <x:v>9.21476314205055</x:v>
      </x:c>
      <x:c r="L108" s="7" t="n">
        <x:v>-0.8588877056408686</x:v>
      </x:c>
      <x:c r="M108" s="8" t="n">
        <x:v>0.7843659867384574</x:v>
      </x:c>
      <x:c r="N108" s="8" t="n">
        <x:v>0.9068066450237328</x:v>
      </x:c>
      <x:c r="O108" s="7" t="n">
        <x:v>0</x:v>
      </x:c>
      <x:c r="P108" s="7" t="n">
        <x:v>118.06331726303324</x:v>
      </x:c>
      <x:c r="Q108" s="7" t="n">
        <x:v>118.06331726303324</x:v>
      </x:c>
      <x:c r="R108" s="9" t="str">
        <x:v>p01631</x:v>
      </x:c>
      <x:c r="S108" s="8" t="n">
        <x:v>0.4666666666666667</x:v>
      </x:c>
      <x:c r="T108" s="10" t="n">
        <x:v>15</x:v>
      </x:c>
      <x:c r="U108" s="10" t="n">
        <x:v>410</x:v>
      </x:c>
      <x:c r="V108" s="7" t="n">
        <x:v>15.872963846940493</x:v>
      </x:c>
      <x:c r="W108" s="1" t="str">
        <x:v>original</x:v>
      </x:c>
    </x:row>
    <x:row r="109" ht="25" customHeight="1">
      <x:c r="A109" s="1" t="str">
        <x:v>原决赛圈 二次岭回归</x:v>
      </x:c>
      <x:c r="B109" s="1" t="str">
        <x:v>r02_f03</x:v>
      </x:c>
      <x:c r="C109" s="7" t="n">
        <x:v>10.63706366437345</x:v>
      </x:c>
      <x:c r="D109" s="7" t="n">
        <x:v>8.66251536301423</x:v>
      </x:c>
      <x:c r="E109" s="7" t="n">
        <x:v>12.346789525775447</x:v>
      </x:c>
      <x:c r="F109" s="7" t="n">
        <x:v>10.374848573020342</x:v>
      </x:c>
      <x:c r="G109" s="7" t="n">
        <x:v>11.570984849588111</x:v>
      </x:c>
      <x:c r="H109" s="7" t="n">
        <x:v>53.59220197577158</x:v>
      </x:c>
      <x:c r="I109" s="7" t="n">
        <x:v>11.370366988121097</x:v>
      </x:c>
      <x:c r="J109" s="7" t="n">
        <x:v>6.928604472696484</x:v>
      </x:c>
      <x:c r="K109" s="7" t="n">
        <x:v>7.586465425223519</x:v>
      </x:c>
      <x:c r="L109" s="7" t="n">
        <x:v>0.6707617265693453</x:v>
      </x:c>
      <x:c r="M109" s="8" t="n">
        <x:v>0.6519580523481922</x:v>
      </x:c>
      <x:c r="N109" s="8" t="n">
        <x:v>0.9115596508591816</x:v>
      </x:c>
      <x:c r="O109" s="7" t="n">
        <x:v>11.32160737839331</x:v>
      </x:c>
      <x:c r="P109" s="7" t="n">
        <x:v>131.91025482543046</x:v>
      </x:c>
      <x:c r="Q109" s="7" t="n">
        <x:v>120.58864744703715</x:v>
      </x:c>
      <x:c r="R109" s="9" t="str">
        <x:v>p01161</x:v>
      </x:c>
      <x:c r="S109" s="8" t="n">
        <x:v>0.5</x:v>
      </x:c>
      <x:c r="T109" s="10" t="n">
        <x:v>24</x:v>
      </x:c>
      <x:c r="U109" s="10" t="n">
        <x:v>410</x:v>
      </x:c>
      <x:c r="V109" s="7" t="n">
        <x:v>15.5418094653647</x:v>
      </x:c>
      <x:c r="W109" s="1" t="str">
        <x:v>original</x:v>
      </x:c>
    </x:row>
    <x:row r="110" ht="25" customHeight="1">
      <x:c r="A110" s="1" t="str">
        <x:v>原决赛圈 二次岭回归</x:v>
      </x:c>
      <x:c r="B110" s="1" t="str">
        <x:v>r02_f04</x:v>
      </x:c>
      <x:c r="C110" s="7" t="n">
        <x:v>25.218775041849423</x:v>
      </x:c>
      <x:c r="D110" s="7" t="n">
        <x:v>9.197590777796478</x:v>
      </x:c>
      <x:c r="E110" s="7" t="n">
        <x:v>11.571047707044054</x:v>
      </x:c>
      <x:c r="F110" s="7" t="n">
        <x:v>10.504932919305379</x:v>
      </x:c>
      <x:c r="G110" s="7" t="n">
        <x:v>20</x:v>
      </x:c>
      <x:c r="H110" s="7" t="n">
        <x:v>76.49234644599534</x:v>
      </x:c>
      <x:c r="I110" s="7" t="n">
        <x:v>10.107906250888503</x:v>
      </x:c>
      <x:c r="J110" s="7" t="n">
        <x:v>6.855984500776817</x:v>
      </x:c>
      <x:c r="K110" s="7" t="n">
        <x:v>9.963445558498863</x:v>
      </x:c>
      <x:c r="L110" s="7" t="n">
        <x:v>0.22820921461391483</x:v>
      </x:c>
      <x:c r="M110" s="8" t="n">
        <x:v>0.8602682148835632</x:v>
      </x:c>
      <x:c r="N110" s="8" t="n">
        <x:v>0.8857015902348018</x:v>
      </x:c>
      <x:c r="O110" s="7" t="n">
        <x:v>0</x:v>
      </x:c>
      <x:c r="P110" s="7" t="n">
        <x:v>117.58323827682761</x:v>
      </x:c>
      <x:c r="Q110" s="7" t="n">
        <x:v>117.58323827682761</x:v>
      </x:c>
      <x:c r="R110" s="9" t="str">
        <x:v>p00256</x:v>
      </x:c>
      <x:c r="S110" s="8" t="n">
        <x:v>0.45</x:v>
      </x:c>
      <x:c r="T110" s="10" t="n">
        <x:v>20</x:v>
      </x:c>
      <x:c r="U110" s="10" t="n">
        <x:v>409</x:v>
      </x:c>
      <x:c r="V110" s="7" t="n">
        <x:v>16.022376525986868</x:v>
      </x:c>
      <x:c r="W110" s="1" t="str">
        <x:v>original</x:v>
      </x:c>
    </x:row>
    <x:row r="111" ht="25" customHeight="1">
      <x:c r="A111" s="1" t="str">
        <x:v>原决赛圈 二次岭回归</x:v>
      </x:c>
      <x:c r="B111" s="1" t="str">
        <x:v>r02_f05</x:v>
      </x:c>
      <x:c r="C111" s="7" t="n">
        <x:v>16.6875448869281</x:v>
      </x:c>
      <x:c r="D111" s="7" t="n">
        <x:v>8.571584672322722</x:v>
      </x:c>
      <x:c r="E111" s="7" t="n">
        <x:v>11.953395096363698</x:v>
      </x:c>
      <x:c r="F111" s="7" t="n">
        <x:v>10.353142319180128</x:v>
      </x:c>
      <x:c r="G111" s="7" t="n">
        <x:v>15.046699290924296</x:v>
      </x:c>
      <x:c r="H111" s="7" t="n">
        <x:v>62.61236626571895</x:v>
      </x:c>
      <x:c r="I111" s="7" t="n">
        <x:v>11.73082194970971</x:v>
      </x:c>
      <x:c r="J111" s="7" t="n">
        <x:v>7.02057724726311</x:v>
      </x:c>
      <x:c r="K111" s="7" t="n">
        <x:v>10.211004544167478</x:v>
      </x:c>
      <x:c r="L111" s="7" t="n">
        <x:v>-0.10458706934965918</x:v>
      </x:c>
      <x:c r="M111" s="8" t="n">
        <x:v>0.7383934983846872</x:v>
      </x:c>
      <x:c r="N111" s="8" t="n">
        <x:v>0.8984465032121233</x:v>
      </x:c>
      <x:c r="O111" s="7" t="n">
        <x:v>5.149192018288886</x:v>
      </x:c>
      <x:c r="P111" s="7" t="n">
        <x:v>120.91401127746212</x:v>
      </x:c>
      <x:c r="Q111" s="7" t="n">
        <x:v>115.76481925917324</x:v>
      </x:c>
      <x:c r="R111" s="9" t="str">
        <x:v>p00786</x:v>
      </x:c>
      <x:c r="S111" s="8" t="n">
        <x:v>0.5769230769230769</x:v>
      </x:c>
      <x:c r="T111" s="10" t="n">
        <x:v>26</x:v>
      </x:c>
      <x:c r="U111" s="10" t="n">
        <x:v>409</x:v>
      </x:c>
      <x:c r="V111" s="7" t="n">
        <x:v>15.641760603885892</x:v>
      </x:c>
      <x:c r="W111" s="1" t="str">
        <x:v>original</x:v>
      </x:c>
    </x:row>
  </x:sheetData>
  <x:pageMargins left="0.7" right="0.7" top="0.75" bottom="0.75" header="0.3" footer="0.3"/>
</x:worksheet>
</file>